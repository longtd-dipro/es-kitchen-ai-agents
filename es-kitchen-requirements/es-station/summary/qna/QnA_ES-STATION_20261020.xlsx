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Q&amp;A (VI)" sheetId="2" state="visible" r:id="rId2"/>
    <sheet xmlns:r="http://schemas.openxmlformats.org/officeDocument/2006/relationships" name="Q&amp;A (JA)" sheetId="3" state="visible" r:id="rId3"/>
    <sheet xmlns:r="http://schemas.openxmlformats.org/officeDocument/2006/relationships" name="Căn cứ (nội bộ)" sheetId="4" state="visible" r:id="rId4"/>
  </sheets>
  <definedNames>
    <definedName name="_xlnm._FilterDatabase" localSheetId="1" hidden="1">'Q&amp;A (VI)'!$A$1:$N$11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00000"/>
      <sz val="10"/>
    </font>
    <font>
      <name val="Arial"/>
      <color rgb="00000000"/>
      <sz val="10"/>
    </font>
    <font>
      <name val="Arial"/>
      <b val="1"/>
      <color rgb="00FFFFFF"/>
      <sz val="10"/>
    </font>
    <font>
      <name val="Arial"/>
      <color rgb="00008000"/>
      <sz val="10"/>
    </font>
  </fonts>
  <fills count="5">
    <fill>
      <patternFill/>
    </fill>
    <fill>
      <patternFill patternType="gray125"/>
    </fill>
    <fill>
      <patternFill patternType="solid">
        <fgColor rgb="00EAF0FD"/>
      </patternFill>
    </fill>
    <fill>
      <patternFill patternType="solid">
        <fgColor rgb="0016324F"/>
      </patternFill>
    </fill>
    <fill>
      <patternFill patternType="solid">
        <fgColor rgb="00FFF2A8"/>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1" fillId="0" borderId="1" applyAlignment="1" pivotButton="0" quotePrefix="0" xfId="0">
      <alignment vertical="top" wrapText="1"/>
    </xf>
    <xf numFmtId="0" fontId="3" fillId="3" borderId="1" applyAlignment="1" pivotButton="0" quotePrefix="0" xfId="0">
      <alignment vertical="center" wrapText="1"/>
    </xf>
    <xf numFmtId="0" fontId="2" fillId="4"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 t="inlineStr">
        <is>
          <t>Tài liệu</t>
        </is>
      </c>
      <c r="B1" s="2" t="inlineStr">
        <is>
          <t>Q&amp;A ES-STATION – 10 điểm cần chốt (bản 2026-10-20)</t>
        </is>
      </c>
    </row>
    <row r="2">
      <c r="A2" s="1" t="inlineStr">
        <is>
          <t>Người trả lời</t>
        </is>
      </c>
      <c r="B2" s="2" t="inlineStr">
        <is>
          <t>hong (PM). Câu nào cần hỏi khách (ESキッチン) thì gửi sheet “Q&amp;A (JA)”.</t>
        </is>
      </c>
    </row>
    <row r="3">
      <c r="A3" s="1" t="inlineStr">
        <is>
          <t>Bối cảnh</t>
        </is>
      </c>
      <c r="B3" s="2" t="inlineStr">
        <is>
          <t>Khi cập nhật wiki ES-STATION theo bản es-station ngày 20/10, có 10 chỗ mà đặc tả, sổ quyết định và thiết kế màn hình đang nói khác nhau. Sơ đồ luồng hiện vẽ theo cột “Đề xuất của nhóm”; câu trả lời sẽ được ghi vào sổ tiếp nhận rồi sửa sơ đồ và wiki.</t>
        </is>
      </c>
    </row>
    <row r="4">
      <c r="A4" s="1" t="inlineStr">
        <is>
          <t>Cách trả lời</t>
        </is>
      </c>
      <c r="B4" s="2" t="inlineStr">
        <is>
          <t>1. Mở sheet “Q&amp;A (VI)”.
2. Ở cột “Trả lời” (ô vàng) chọn A, B hoặc Khác.
3. Nếu chọn Khác hoặc có điều kiện thêm, ghi ở cột “Ghi chú trả lời”.
4. Điền “Người trả lời” và “Ngày trả lời” (yyyy-mm-dd).
Cột “Trạng thái” tự đổi thành “Đã trả lời” khi có câu trả lời. Sheet “Q&amp;A (JA)” tự lấy câu trả lời từ sheet VI.</t>
        </is>
      </c>
    </row>
    <row r="5">
      <c r="A5" s="1" t="inlineStr">
        <is>
          <t>Ô cần điền</t>
        </is>
      </c>
      <c r="B5" s="2" t="inlineStr">
        <is>
          <t>Chỉ các ô nền vàng ở sheet “Q&amp;A (VI)”. Các ô khác không cần sửa.</t>
        </is>
      </c>
    </row>
    <row r="6">
      <c r="A6" s="1" t="inlineStr">
        <is>
          <t>Mức độ</t>
        </is>
      </c>
      <c r="B6" s="2" t="inlineStr">
        <is>
          <t>Cao = ảnh hưởng tiền, bảo mật hoặc lịch xuất hàng · Trung bình = ảnh hưởng thao tác / dữ liệu · Thấp = hiển thị.</t>
        </is>
      </c>
    </row>
    <row r="7">
      <c r="A7" s="1" t="inlineStr">
        <is>
          <t>Sheet “Căn cứ (nội bộ)”</t>
        </is>
      </c>
      <c r="B7" s="2" t="inlineStr">
        <is>
          <t>Nguồn tài liệu đang khác nhau và sơ đồ bị ảnh hưởng. Chỉ dùng nội bộ, không gửi khách.</t>
        </is>
      </c>
    </row>
    <row r="9">
      <c r="A9" s="1" t="inlineStr">
        <is>
          <t>Tổng hợp</t>
        </is>
      </c>
      <c r="B9" s="2" t="inlineStr"/>
    </row>
    <row r="10">
      <c r="A10" s="3" t="inlineStr">
        <is>
          <t>Số câu</t>
        </is>
      </c>
      <c r="B10" s="2">
        <f>COUNTA('Q&amp;A (VI)'!A2:A11)</f>
        <v/>
      </c>
    </row>
    <row r="11">
      <c r="A11" s="3" t="inlineStr">
        <is>
          <t>Đã trả lời</t>
        </is>
      </c>
      <c r="B11" s="2">
        <f>COUNTIF('Q&amp;A (VI)'!N2:N11,"Đã trả lời")</f>
        <v/>
      </c>
    </row>
    <row r="12">
      <c r="A12" s="3" t="inlineStr">
        <is>
          <t>Chờ trả lời</t>
        </is>
      </c>
      <c r="B12" s="2">
        <f>COUNTIF('Q&amp;A (VI)'!N2:N11,"Chờ trả lời")</f>
        <v/>
      </c>
    </row>
    <row r="14">
      <c r="A14" s="1" t="inlineStr">
        <is>
          <t>Ví dụ một câu trả lời</t>
        </is>
      </c>
      <c r="B14" s="2" t="inlineStr">
        <is>
          <t>Trả lời: A · Ghi chú: “Đúng, giữ 17:00 thứ Sáu; bỏ chữ tạm thời.” · Người trả lời: hong · Ngày: 2026-10-21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10" customWidth="1" min="3" max="3"/>
    <col width="48" customWidth="1" min="4" max="4"/>
    <col width="30" customWidth="1" min="5" max="5"/>
    <col width="30" customWidth="1" min="6" max="6"/>
    <col width="34" customWidth="1" min="7" max="7"/>
    <col width="32" customWidth="1" min="8" max="8"/>
    <col width="34" customWidth="1" min="9" max="9"/>
    <col width="14" customWidth="1" min="10" max="10"/>
    <col width="30" customWidth="1" min="11" max="11"/>
    <col width="14" customWidth="1" min="12" max="12"/>
    <col width="13" customWidth="1" min="13" max="13"/>
    <col width="13" customWidth="1" min="14" max="14"/>
  </cols>
  <sheetData>
    <row r="1">
      <c r="A1" s="4" t="inlineStr">
        <is>
          <t>No</t>
        </is>
      </c>
      <c r="B1" s="4" t="inlineStr">
        <is>
          <t>Nhóm nghiệp vụ</t>
        </is>
      </c>
      <c r="C1" s="4" t="inlineStr">
        <is>
          <t>Mức độ</t>
        </is>
      </c>
      <c r="D1" s="4" t="inlineStr">
        <is>
          <t>Câu hỏi</t>
        </is>
      </c>
      <c r="E1" s="4" t="inlineStr">
        <is>
          <t>Phương án A</t>
        </is>
      </c>
      <c r="F1" s="4" t="inlineStr">
        <is>
          <t>Phương án B</t>
        </is>
      </c>
      <c r="G1" s="4" t="inlineStr">
        <is>
          <t>Vì sao cần hỏi</t>
        </is>
      </c>
      <c r="H1" s="4" t="inlineStr">
        <is>
          <t>Đề xuất của nhóm</t>
        </is>
      </c>
      <c r="I1" s="4" t="inlineStr">
        <is>
          <t>Nếu chọn phương án khác</t>
        </is>
      </c>
      <c r="J1" s="4" t="inlineStr">
        <is>
          <t>Trả lời (A / B / Khác)</t>
        </is>
      </c>
      <c r="K1" s="4" t="inlineStr">
        <is>
          <t>Ghi chú trả lời</t>
        </is>
      </c>
      <c r="L1" s="4" t="inlineStr">
        <is>
          <t>Người trả lời</t>
        </is>
      </c>
      <c r="M1" s="4" t="inlineStr">
        <is>
          <t>Ngày trả lời</t>
        </is>
      </c>
      <c r="N1" s="4" t="inlineStr">
        <is>
          <t>Trạng thái</t>
        </is>
      </c>
    </row>
    <row r="2" ht="120" customHeight="1">
      <c r="A2" s="2" t="n">
        <v>1</v>
      </c>
      <c r="B2" s="2" t="inlineStr">
        <is>
          <t>Mẫu kinh doanh</t>
        </is>
      </c>
      <c r="C2" s="2" t="inlineStr">
        <is>
          <t>Cao</t>
        </is>
      </c>
      <c r="D2" s="2" t="inlineStr">
        <is>
          <t>Nhân viên vận hành đăng ký gửi mẫu thử cho khách tiềm năng. Đến một giờ cố định, hệ thống “chốt” các đăng ký này và tạo chỉ thị xuất hàng cho kho.
Giờ chốt đó là lúc nào?</t>
        </is>
      </c>
      <c r="E2" s="2" t="inlineStr">
        <is>
          <t>A. 17:00 thứ Sáu của tuần trước tuần xuất hàng.</t>
        </is>
      </c>
      <c r="F2" s="2" t="inlineStr">
        <is>
          <t>B. 2 ngày làm việc trước thứ Hai của tuần xuất hàng.</t>
        </is>
      </c>
      <c r="G2" s="2" t="inlineStr">
        <is>
          <t>Quyết định hạn chót để vận hành thêm / sửa mẫu, và ngày kho nhận chỉ thị xuất hàng.</t>
        </is>
      </c>
      <c r="H2" s="2" t="inlineStr">
        <is>
          <t>A — theo quyết định họp ngày 16/10 (đang ghi là tạm thời).</t>
        </is>
      </c>
      <c r="I2" s="2" t="inlineStr">
        <is>
          <t>Đổi giờ chốt tự động và câu hướng dẫn trên màn đăng ký mẫu; không phát sinh màn mới.</t>
        </is>
      </c>
      <c r="J2" s="5" t="inlineStr">
        <is>
          <t>A</t>
        </is>
      </c>
      <c r="K2" s="5" t="n"/>
      <c r="L2" s="5" t="inlineStr">
        <is>
          <t>hong</t>
        </is>
      </c>
      <c r="M2" s="5" t="inlineStr">
        <is>
          <t>2026-10-20</t>
        </is>
      </c>
      <c r="N2" s="2">
        <f>IF(J2="","Chờ trả lời","Đã trả lời")</f>
        <v/>
      </c>
    </row>
    <row r="3" ht="120" customHeight="1">
      <c r="A3" s="2" t="n">
        <v>2</v>
      </c>
      <c r="B3" s="2" t="inlineStr">
        <is>
          <t>Giao hàng</t>
        </is>
      </c>
      <c r="C3" s="2" t="inlineStr">
        <is>
          <t>Thấp</t>
        </is>
      </c>
      <c r="D3" s="2" t="inlineStr">
        <is>
          <t>Khi khách nhờ, nhân viên vận hành có thể đổi địa chỉ giao của riêng một chuyến (ví dụ: chuyến tuần này giao tới văn phòng khác).
Khi đổi, có bắt buộc nhập lý do không?</t>
        </is>
      </c>
      <c r="E3" s="2" t="inlineStr">
        <is>
          <t>A. Không bắt buộc — nhập nếu cần.</t>
        </is>
      </c>
      <c r="F3" s="2" t="inlineStr">
        <is>
          <t>B. Bắt buộc nhập lý do.</t>
        </is>
      </c>
      <c r="G3" s="2" t="inlineStr">
        <is>
          <t>Ảnh hưởng thao tác hằng ngày của vận hành và nội dung lưu trong lịch sử thay đổi của chuyến giao.</t>
        </is>
      </c>
      <c r="H3" s="2" t="inlineStr">
        <is>
          <t>A — theo quyết định 13/10 (lý do ở các màn sửa là tùy chọn).</t>
        </is>
      </c>
      <c r="I3" s="2" t="inlineStr">
        <is>
          <t>Thêm kiểm tra bắt buộc và thông báo lỗi trên ô lý do.</t>
        </is>
      </c>
      <c r="J3" s="5" t="inlineStr">
        <is>
          <t>A</t>
        </is>
      </c>
      <c r="K3" s="5" t="n"/>
      <c r="L3" s="5" t="inlineStr">
        <is>
          <t>hong</t>
        </is>
      </c>
      <c r="M3" s="5" t="inlineStr">
        <is>
          <t>2026-10-20</t>
        </is>
      </c>
      <c r="N3" s="2">
        <f>IF(J3="","Chờ trả lời","Đã trả lời")</f>
        <v/>
      </c>
    </row>
    <row r="4" ht="120" customHeight="1">
      <c r="A4" s="2" t="n">
        <v>3</v>
      </c>
      <c r="B4" s="2" t="inlineStr">
        <is>
          <t>Giao hàng</t>
        </is>
      </c>
      <c r="C4" s="2" t="inlineStr">
        <is>
          <t>Trung bình</t>
        </is>
      </c>
      <c r="D4" s="2" t="inlineStr">
        <is>
          <t>Với chuyến do công ty vận tải giao (không có báo cáo của tài xế ES), nếu không có thông tin gì thêm thì hệ thống tự coi chuyến đó là “đã giao”.
Việc tự cập nhật này chạy lúc nào?</t>
        </is>
      </c>
      <c r="E4" s="2" t="inlineStr">
        <is>
          <t>A. 0:00, cùng lúc với các xử lý tự động hằng ngày khác.</t>
        </is>
      </c>
      <c r="F4" s="2" t="inlineStr">
        <is>
          <t>B. 6:00 sáng ngày hôm sau ngày giao.</t>
        </is>
      </c>
      <c r="G4" s="2" t="inlineStr">
        <is>
          <t>Quyết định lúc nào khách và vận hành thấy trạng thái “đã giao”, và lúc nào hệ thống báo chuyến bị thiếu dữ liệu.</t>
        </is>
      </c>
      <c r="H4" s="2" t="inlineStr">
        <is>
          <t>A — theo quyết định 16/10 (mọi xử lý tự động chạy lúc 0:00).</t>
        </is>
      </c>
      <c r="I4" s="2" t="inlineStr">
        <is>
          <t>Tách riêng giờ chạy của xử lý này; không phát sinh màn mới.</t>
        </is>
      </c>
      <c r="J4" s="5" t="inlineStr">
        <is>
          <t>Khác</t>
        </is>
      </c>
      <c r="K4" s="5" t="inlineStr">
        <is>
          <t>Giao bằng ES mà không có báo cáo thì là sự cố (trouble), không tự động đổi trạng thái. (Còn hỏi lại: chuyến do công ty vận tải giao vẫn tự coi là “đã giao”? chạy 0:00 hay 6:00?)</t>
        </is>
      </c>
      <c r="L4" s="5" t="inlineStr">
        <is>
          <t>hong</t>
        </is>
      </c>
      <c r="M4" s="5" t="inlineStr">
        <is>
          <t>2026-10-20</t>
        </is>
      </c>
      <c r="N4" s="2">
        <f>IF(J4="","Chờ trả lời","Đã trả lời")</f>
        <v/>
      </c>
    </row>
    <row r="5" ht="120" customHeight="1">
      <c r="A5" s="2" t="n">
        <v>4</v>
      </c>
      <c r="B5" s="2" t="inlineStr">
        <is>
          <t>Mua hàng</t>
        </is>
      </c>
      <c r="C5" s="2" t="inlineStr">
        <is>
          <t>Trung bình</t>
        </is>
      </c>
      <c r="D5" s="2" t="inlineStr">
        <is>
          <t>Ngoài hội viên dùng app, còn có người mua qua ESQR (mua bằng mã QR, không dùng app) và khách vãng lai.
Trên màn quản lý mua hàng, những người này có được hiển thị mã người dùng như hội viên app không?</t>
        </is>
      </c>
      <c r="E5" s="2" t="inlineStr">
        <is>
          <t>A. Có — mỗi người có mã người dùng, xem được lịch sử mua theo từng người.</t>
        </is>
      </c>
      <c r="F5" s="2" t="inlineStr">
        <is>
          <t>B. Không — cột mã người dùng để trống (“—”).</t>
        </is>
      </c>
      <c r="G5" s="2" t="inlineStr">
        <is>
          <t>Quyết định có xem / tổng hợp mua hàng theo từng người với ESQR và khách hay không.</t>
        </is>
      </c>
      <c r="H5" s="2" t="inlineStr">
        <is>
          <t>A — theo đặc tả mua hàng · thanh toán · hoàn tiền.</t>
        </is>
      </c>
      <c r="I5" s="2" t="inlineStr">
        <is>
          <t>Giữ cột trống và bỏ tổng hợp theo người cho ESQR / khách.</t>
        </is>
      </c>
      <c r="J5" s="5" t="inlineStr">
        <is>
          <t>A</t>
        </is>
      </c>
      <c r="K5" s="5" t="n"/>
      <c r="L5" s="5" t="inlineStr">
        <is>
          <t>hong</t>
        </is>
      </c>
      <c r="M5" s="5" t="inlineStr">
        <is>
          <t>2026-10-20</t>
        </is>
      </c>
      <c r="N5" s="2">
        <f>IF(J5="","Chờ trả lời","Đã trả lời")</f>
        <v/>
      </c>
    </row>
    <row r="6" ht="120" customHeight="1">
      <c r="A6" s="2" t="n">
        <v>5</v>
      </c>
      <c r="B6" s="2" t="inlineStr">
        <is>
          <t>Đăng ký doanh nghiệp</t>
        </is>
      </c>
      <c r="C6" s="2" t="inlineStr">
        <is>
          <t>Cao</t>
        </is>
      </c>
      <c r="D6" s="2" t="inlineStr">
        <is>
          <t>Khi vận hành “đăng ký tạm” một đơn đăng ký mới, hệ thống gửi mail hướng dẫn đăng nhập (kèm mật khẩu ban đầu).
Mail này gửi cho ai?</t>
        </is>
      </c>
      <c r="E6" s="2" t="inlineStr">
        <is>
          <t>A. Tất cả người phụ trách khai trong đơn (người chính, người phụ, người nhận hóa đơn).</t>
        </is>
      </c>
      <c r="F6" s="2" t="inlineStr">
        <is>
          <t>B. Chỉ người phụ trách chính và người điền đơn.</t>
        </is>
      </c>
      <c r="G6" s="2" t="inlineStr">
        <is>
          <t>Liên quan tới việc ai nhận được mật khẩu ban đầu; gửi nhầm người là rủi ro bảo mật.</t>
        </is>
      </c>
      <c r="H6" s="2" t="inlineStr">
        <is>
          <t>B — theo sổ quyết định (danh sách email đang ghi khác, sẽ sửa theo câu trả lời).</t>
        </is>
      </c>
      <c r="I6" s="2" t="inlineStr">
        <is>
          <t>Đổi danh sách người nhận của mail; sửa lại danh sách email.</t>
        </is>
      </c>
      <c r="J6" s="5" t="inlineStr">
        <is>
          <t>B</t>
        </is>
      </c>
      <c r="K6" s="5" t="n"/>
      <c r="L6" s="5" t="inlineStr">
        <is>
          <t>hong</t>
        </is>
      </c>
      <c r="M6" s="5" t="inlineStr">
        <is>
          <t>2026-10-20</t>
        </is>
      </c>
      <c r="N6" s="2">
        <f>IF(J6="","Chờ trả lời","Đã trả lời")</f>
        <v/>
      </c>
    </row>
    <row r="7" ht="120" customHeight="1">
      <c r="A7" s="2" t="n">
        <v>6</v>
      </c>
      <c r="B7" s="2" t="inlineStr">
        <is>
          <t>Nhập kho</t>
        </is>
      </c>
      <c r="C7" s="2" t="inlineStr">
        <is>
          <t>Trung bình</t>
        </is>
      </c>
      <c r="D7" s="2" t="inlineStr">
        <is>
          <t>Nhà cung cấp nhập hạn sử dụng khi xác nhận đơn đặt hàng. Khi hàng về kho, nhân viên nhập số lượng và số thùng.
Lúc nhập kho, nhân viên có phải nhập lại hạn sử dụng không?</t>
        </is>
      </c>
      <c r="E7" s="2" t="inlineStr">
        <is>
          <t>A. Không — màn nhập kho chỉ hiển thị hạn sử dụng nhà cung cấp đã nhập.</t>
        </is>
      </c>
      <c r="F7" s="2" t="inlineStr">
        <is>
          <t>B. Có — bắt buộc nhập hạn sử dụng thực tế khi nhập kho.</t>
        </is>
      </c>
      <c r="G7" s="2" t="inlineStr">
        <is>
          <t>Ảnh hưởng thao tác của kho và nơi lấy hạn sử dụng để quản lý tồn kho.</t>
        </is>
      </c>
      <c r="H7" s="2" t="inlineStr">
        <is>
          <t>A — theo quy định mới hơn (08/10).</t>
        </is>
      </c>
      <c r="I7" s="2" t="inlineStr">
        <is>
          <t>Thêm ô nhập hạn sử dụng bắt buộc ở màn nhập kho.</t>
        </is>
      </c>
      <c r="J7" s="5" t="inlineStr">
        <is>
          <t>A</t>
        </is>
      </c>
      <c r="K7" s="5" t="n"/>
      <c r="L7" s="5" t="inlineStr">
        <is>
          <t>hong</t>
        </is>
      </c>
      <c r="M7" s="5" t="inlineStr">
        <is>
          <t>2026-10-20</t>
        </is>
      </c>
      <c r="N7" s="2">
        <f>IF(J7="","Chờ trả lời","Đã trả lời")</f>
        <v/>
      </c>
    </row>
    <row r="8" ht="120" customHeight="1">
      <c r="A8" s="2" t="n">
        <v>7</v>
      </c>
      <c r="B8" s="2" t="inlineStr">
        <is>
          <t>Nhà cung cấp</t>
        </is>
      </c>
      <c r="C8" s="2" t="inlineStr">
        <is>
          <t>Thấp</t>
        </is>
      </c>
      <c r="D8" s="2" t="inlineStr">
        <is>
          <t>Trên site nhà cung cấp có trang danh sách thông báo.
Mỗi trang hiển thị bao nhiêu dòng?</t>
        </is>
      </c>
      <c r="E8" s="2" t="inlineStr">
        <is>
          <t>A. Cho chọn 10 / 20 / 50 / 100 dòng, giống các danh sách khác.</t>
        </is>
      </c>
      <c r="F8" s="2" t="inlineStr">
        <is>
          <t>B. Cố định 10 dòng.</t>
        </is>
      </c>
      <c r="G8" s="2" t="inlineStr">
        <is>
          <t>Thống nhất cách hiển thị danh sách giữa các site.</t>
        </is>
      </c>
      <c r="H8" s="2" t="inlineStr">
        <is>
          <t>A — theo quy định chung về bảng danh sách (18/10).</t>
        </is>
      </c>
      <c r="I8" s="2" t="inlineStr">
        <is>
          <t>Bỏ ô chọn số dòng ở trang này.</t>
        </is>
      </c>
      <c r="J8" s="5" t="inlineStr">
        <is>
          <t>A</t>
        </is>
      </c>
      <c r="K8" s="5" t="n"/>
      <c r="L8" s="5" t="inlineStr">
        <is>
          <t>hong</t>
        </is>
      </c>
      <c r="M8" s="5" t="inlineStr">
        <is>
          <t>2026-10-20</t>
        </is>
      </c>
      <c r="N8" s="2">
        <f>IF(J8="","Chờ trả lời","Đã trả lời")</f>
        <v/>
      </c>
    </row>
    <row r="9" ht="120" customHeight="1">
      <c r="A9" s="2" t="n">
        <v>8</v>
      </c>
      <c r="B9" s="2" t="inlineStr">
        <is>
          <t>Mua hàng</t>
        </is>
      </c>
      <c r="C9" s="2" t="inlineStr">
        <is>
          <t>Trung bình</t>
        </is>
      </c>
      <c r="D9" s="2" t="inlineStr">
        <is>
          <t>Đơn mua trên app tự hủy khi quá 30 phút chưa thanh toán xong. Màn quản lý mua hàng có thao tác sửa một đơn “đã hủy” thành “đã thanh toán” (bắt buộc nhập lý do; thao tác này trừ tồn kho).
Ai được phép làm thao tác này?</t>
        </is>
      </c>
      <c r="E9" s="2" t="inlineStr">
        <is>
          <t>A. Người có toàn quyền và người quản trị hệ thống.</t>
        </is>
      </c>
      <c r="F9" s="2" t="inlineStr">
        <is>
          <t>B. Chỉ người có toàn quyền.</t>
        </is>
      </c>
      <c r="G9" s="2" t="inlineStr">
        <is>
          <t>Đây là thao tác ảnh hưởng tới tiền và tồn kho; cần giới hạn người được làm.</t>
        </is>
      </c>
      <c r="H9" s="2" t="inlineStr">
        <is>
          <t>B — theo sổ quyết định 07/10 (thiết kế màn đang cho cả quản trị hệ thống, sẽ sửa theo câu trả lời).</t>
        </is>
      </c>
      <c r="I9" s="2" t="inlineStr">
        <is>
          <t>Mở thêm quyền cho vai trò quản trị hệ thống; cập nhật bảng phân quyền.</t>
        </is>
      </c>
      <c r="J9" s="5" t="inlineStr">
        <is>
          <t>Khác</t>
        </is>
      </c>
      <c r="K9" s="5" t="inlineStr">
        <is>
          <t>Người có quyền chỉnh sửa màn quản lý mua hàng (theo bảng phân quyền: toàn quyền; quản trị hệ thống có quyền sửa mọi màn → thực tế là phương án A).</t>
        </is>
      </c>
      <c r="L9" s="5" t="inlineStr">
        <is>
          <t>hong</t>
        </is>
      </c>
      <c r="M9" s="5" t="inlineStr">
        <is>
          <t>2026-10-20</t>
        </is>
      </c>
      <c r="N9" s="2">
        <f>IF(J9="","Chờ trả lời","Đã trả lời")</f>
        <v/>
      </c>
    </row>
    <row r="10" ht="120" customHeight="1">
      <c r="A10" s="2" t="n">
        <v>9</v>
      </c>
      <c r="B10" s="2" t="inlineStr">
        <is>
          <t>Đối tác vận chuyển</t>
        </is>
      </c>
      <c r="C10" s="2" t="inlineStr">
        <is>
          <t>Trung bình</t>
        </is>
      </c>
      <c r="D10" s="2" t="inlineStr">
        <is>
          <t>Vận hành gửi yêu cầu báo giá cho nhiều đơn vị giao hàng ủy thác, kèm hạn trả lời.
Nếu đã quá hạn nhưng vận hành vẫn chưa chọn công ty và chưa hủy yêu cầu, đơn vị giao hàng có được gửi báo giá không?</t>
        </is>
      </c>
      <c r="E10" s="2" t="inlineStr">
        <is>
          <t>A. Được — vẫn gửi được cho tới khi vận hành chọn công ty hoặc hủy.</t>
        </is>
      </c>
      <c r="F10" s="2" t="inlineStr">
        <is>
          <t>B. Không — quá hạn thì màn của đơn vị giao hàng hiện “hết hạn” và khóa nút trả lời.</t>
        </is>
      </c>
      <c r="G10" s="2" t="inlineStr">
        <is>
          <t>Quyết định có nhận thêm báo giá muộn hay không, và vận hành có phải gia hạn trước khi nhận.</t>
        </is>
      </c>
      <c r="H10" s="2" t="inlineStr">
        <is>
          <t>A — theo quyết định 18/10.</t>
        </is>
      </c>
      <c r="I10" s="2" t="inlineStr">
        <is>
          <t>Khóa nút trả lời khi quá hạn; vận hành phải gia hạn nếu muốn nhận thêm.</t>
        </is>
      </c>
      <c r="J10" s="5" t="inlineStr">
        <is>
          <t>A</t>
        </is>
      </c>
      <c r="K10" s="5" t="n"/>
      <c r="L10" s="5" t="inlineStr">
        <is>
          <t>hong</t>
        </is>
      </c>
      <c r="M10" s="5" t="inlineStr">
        <is>
          <t>2026-10-20</t>
        </is>
      </c>
      <c r="N10" s="2">
        <f>IF(J10="","Chờ trả lời","Đã trả lời")</f>
        <v/>
      </c>
    </row>
    <row r="11" ht="120" customHeight="1">
      <c r="A11" s="2" t="n">
        <v>10</v>
      </c>
      <c r="B11" s="2" t="inlineStr">
        <is>
          <t>Hủy hợp đồng</t>
        </is>
      </c>
      <c r="C11" s="2" t="inlineStr">
        <is>
          <t>Cao</t>
        </is>
      </c>
      <c r="D11" s="2" t="inlineStr">
        <is>
          <t>Sau khi cơ sở hủy hợp đồng, tài khoản chỉ còn quyền xem cho tới khi hóa đơn cuối được thanh toán.
Tài khoản bị dừng hẳn vào lúc nào?</t>
        </is>
      </c>
      <c r="E11" s="2" t="inlineStr">
        <is>
          <t>A. Tự động vào ngày sau hạn thanh toán của hóa đơn cuối.</t>
        </is>
      </c>
      <c r="F11" s="2" t="inlineStr">
        <is>
          <t>B. Vận hành tự dừng vào cuối tháng hủy hợp đồng.</t>
        </is>
      </c>
      <c r="G11" s="2" t="inlineStr">
        <is>
          <t>Quyết định khách xem được hóa đơn cuối và làm kiểm kê cuối tới khi nào, và vận hành có phải thao tác tay không.</t>
        </is>
      </c>
      <c r="H11" s="2" t="inlineStr">
        <is>
          <t>A — theo quyết định 18/10 (mới hơn quyết định 16/10).</t>
        </is>
      </c>
      <c r="I11" s="2" t="inlineStr">
        <is>
          <t>Bỏ việc tự dừng; thêm việc cần làm cho vận hành ở cuối tháng.</t>
        </is>
      </c>
      <c r="J11" s="5" t="inlineStr">
        <is>
          <t>A</t>
        </is>
      </c>
      <c r="K11" s="5" t="n"/>
      <c r="L11" s="5" t="inlineStr">
        <is>
          <t>hong</t>
        </is>
      </c>
      <c r="M11" s="5" t="inlineStr">
        <is>
          <t>2026-10-20</t>
        </is>
      </c>
      <c r="N11" s="2">
        <f>IF(J11="","Chờ trả lời","Đã trả lời")</f>
        <v/>
      </c>
    </row>
  </sheetData>
  <autoFilter ref="A1:N11"/>
  <dataValidations count="1">
    <dataValidation sqref="J2:J11" showDropDown="0" showInputMessage="0" showErrorMessage="0" allowBlank="1" type="list">
      <formula1>"A,B,Khác"</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9" customWidth="1" min="3" max="3"/>
    <col width="48" customWidth="1" min="4" max="4"/>
    <col width="30" customWidth="1" min="5" max="5"/>
    <col width="30" customWidth="1" min="6" max="6"/>
    <col width="34" customWidth="1" min="7" max="7"/>
    <col width="32" customWidth="1" min="8" max="8"/>
    <col width="34" customWidth="1" min="9" max="9"/>
    <col width="10" customWidth="1" min="10" max="10"/>
    <col width="30" customWidth="1" min="11" max="11"/>
    <col width="12" customWidth="1" min="12" max="12"/>
    <col width="13" customWidth="1" min="13" max="13"/>
    <col width="12" customWidth="1" min="14" max="14"/>
  </cols>
  <sheetData>
    <row r="1">
      <c r="A1" s="4" t="inlineStr">
        <is>
          <t>No</t>
        </is>
      </c>
      <c r="B1" s="4" t="inlineStr">
        <is>
          <t>分類</t>
        </is>
      </c>
      <c r="C1" s="4" t="inlineStr">
        <is>
          <t>重要度</t>
        </is>
      </c>
      <c r="D1" s="4" t="inlineStr">
        <is>
          <t>確認したいこと</t>
        </is>
      </c>
      <c r="E1" s="4" t="inlineStr">
        <is>
          <t>案 A</t>
        </is>
      </c>
      <c r="F1" s="4" t="inlineStr">
        <is>
          <t>案 B</t>
        </is>
      </c>
      <c r="G1" s="4" t="inlineStr">
        <is>
          <t>確認が必要な理由</t>
        </is>
      </c>
      <c r="H1" s="4" t="inlineStr">
        <is>
          <t>提案（Dipro）</t>
        </is>
      </c>
      <c r="I1" s="4" t="inlineStr">
        <is>
          <t>別の案を選んだ場合</t>
        </is>
      </c>
      <c r="J1" s="4" t="inlineStr">
        <is>
          <t>回答</t>
        </is>
      </c>
      <c r="K1" s="4" t="inlineStr">
        <is>
          <t>回答メモ</t>
        </is>
      </c>
      <c r="L1" s="4" t="inlineStr">
        <is>
          <t>回答者</t>
        </is>
      </c>
      <c r="M1" s="4" t="inlineStr">
        <is>
          <t>回答日</t>
        </is>
      </c>
      <c r="N1" s="4" t="inlineStr">
        <is>
          <t>状態</t>
        </is>
      </c>
    </row>
    <row r="2" ht="120" customHeight="1">
      <c r="A2" s="2" t="n">
        <v>1</v>
      </c>
      <c r="B2" s="2" t="inlineStr">
        <is>
          <t>営業サンプル</t>
        </is>
      </c>
      <c r="C2" s="2" t="inlineStr">
        <is>
          <t>高</t>
        </is>
      </c>
      <c r="D2" s="2" t="inlineStr">
        <is>
          <t>営業担当（運営）が見込み客への営業サンプルを登録します。決まった時刻にシステムが受付を締め、倉庫へ出荷指示を出します。
この締めの時刻はいつにしますか？</t>
        </is>
      </c>
      <c r="E2" s="2" t="inlineStr">
        <is>
          <t>A. 出荷週の前週の金曜日 17:00</t>
        </is>
      </c>
      <c r="F2" s="2" t="inlineStr">
        <is>
          <t>B. 出荷週の月曜日の2営業日前</t>
        </is>
      </c>
      <c r="G2" s="2" t="inlineStr">
        <is>
          <t>運営がサンプルを追加・修正できる期限と、倉庫が出荷指示を受け取る日が決まります。</t>
        </is>
      </c>
      <c r="H2" s="2" t="inlineStr">
        <is>
          <t>A（10/16 の定例の決定。現在は暫定扱い）</t>
        </is>
      </c>
      <c r="I2" s="2" t="inlineStr">
        <is>
          <t>自動締めの時刻と登録画面の案内文を変更します。新しい画面は不要です。</t>
        </is>
      </c>
      <c r="J2" s="6">
        <f>IF('Q&amp;A (VI)'!J2="","",IF('Q&amp;A (VI)'!J2="Khác","その他",'Q&amp;A (VI)'!J2))</f>
        <v/>
      </c>
      <c r="K2" s="6">
        <f>IF('Q&amp;A (VI)'!K2="","",'Q&amp;A (VI)'!K2)</f>
        <v/>
      </c>
      <c r="L2" s="6">
        <f>IF('Q&amp;A (VI)'!L2="","",'Q&amp;A (VI)'!L2)</f>
        <v/>
      </c>
      <c r="M2" s="6">
        <f>IF('Q&amp;A (VI)'!M2="","",'Q&amp;A (VI)'!M2)</f>
        <v/>
      </c>
      <c r="N2" s="6">
        <f>IF(J2="","未回答","回答済")</f>
        <v/>
      </c>
    </row>
    <row r="3" ht="120" customHeight="1">
      <c r="A3" s="2" t="n">
        <v>2</v>
      </c>
      <c r="B3" s="2" t="inlineStr">
        <is>
          <t>配送</t>
        </is>
      </c>
      <c r="C3" s="2" t="inlineStr">
        <is>
          <t>低</t>
        </is>
      </c>
      <c r="D3" s="2" t="inlineStr">
        <is>
          <t>お客様の依頼で、運営が1便だけお届け先の住所を変えることがあります（例：今週の便だけ別の事務所へ）。
変更するとき、理由の入力は必須にしますか？</t>
        </is>
      </c>
      <c r="E3" s="2" t="inlineStr">
        <is>
          <t>A. 必須にしない（必要なときだけ入力）</t>
        </is>
      </c>
      <c r="F3" s="2" t="inlineStr">
        <is>
          <t>B. 必須にする</t>
        </is>
      </c>
      <c r="G3" s="2" t="inlineStr">
        <is>
          <t>運営の日々の操作と、配送の変更履歴に残る内容に関わります。</t>
        </is>
      </c>
      <c r="H3" s="2" t="inlineStr">
        <is>
          <t>A（10/13 の決定：修正画面の理由は任意）</t>
        </is>
      </c>
      <c r="I3" s="2" t="inlineStr">
        <is>
          <t>理由欄に必須チェックとエラー表示を追加します。</t>
        </is>
      </c>
      <c r="J3" s="6">
        <f>IF('Q&amp;A (VI)'!J3="","",IF('Q&amp;A (VI)'!J3="Khác","その他",'Q&amp;A (VI)'!J3))</f>
        <v/>
      </c>
      <c r="K3" s="6">
        <f>IF('Q&amp;A (VI)'!K3="","",'Q&amp;A (VI)'!K3)</f>
        <v/>
      </c>
      <c r="L3" s="6">
        <f>IF('Q&amp;A (VI)'!L3="","",'Q&amp;A (VI)'!L3)</f>
        <v/>
      </c>
      <c r="M3" s="6">
        <f>IF('Q&amp;A (VI)'!M3="","",'Q&amp;A (VI)'!M3)</f>
        <v/>
      </c>
      <c r="N3" s="6">
        <f>IF(J3="","未回答","回答済")</f>
        <v/>
      </c>
    </row>
    <row r="4" ht="120" customHeight="1">
      <c r="A4" s="2" t="n">
        <v>3</v>
      </c>
      <c r="B4" s="2" t="inlineStr">
        <is>
          <t>配送</t>
        </is>
      </c>
      <c r="C4" s="2" t="inlineStr">
        <is>
          <t>中</t>
        </is>
      </c>
      <c r="D4" s="2" t="inlineStr">
        <is>
          <t>運送会社が届ける便（ESのドライバーの報告がない便）は、ほかの情報がなければシステムが自動で「納品済」にします。
この自動更新はいつ動かしますか？</t>
        </is>
      </c>
      <c r="E4" s="2" t="inlineStr">
        <is>
          <t>A. 0:00（ほかの日次の自動処理と同じ時刻）</t>
        </is>
      </c>
      <c r="F4" s="2" t="inlineStr">
        <is>
          <t>B. お届け日の翌朝 6:00</t>
        </is>
      </c>
      <c r="G4" s="2" t="inlineStr">
        <is>
          <t>お客様と運営が「納品済」を見る時刻と、データ不足の便を知らせる時刻が決まります。</t>
        </is>
      </c>
      <c r="H4" s="2" t="inlineStr">
        <is>
          <t>A（10/16 の決定：自動処理はすべて 0:00）</t>
        </is>
      </c>
      <c r="I4" s="2" t="inlineStr">
        <is>
          <t>この処理だけ実行時刻を分けます。画面の追加はありません。</t>
        </is>
      </c>
      <c r="J4" s="6">
        <f>IF('Q&amp;A (VI)'!J4="","",IF('Q&amp;A (VI)'!J4="Khác","その他",'Q&amp;A (VI)'!J4))</f>
        <v/>
      </c>
      <c r="K4" s="6">
        <f>IF('Q&amp;A (VI)'!K4="","",'Q&amp;A (VI)'!K4)</f>
        <v/>
      </c>
      <c r="L4" s="6">
        <f>IF('Q&amp;A (VI)'!L4="","",'Q&amp;A (VI)'!L4)</f>
        <v/>
      </c>
      <c r="M4" s="6">
        <f>IF('Q&amp;A (VI)'!M4="","",'Q&amp;A (VI)'!M4)</f>
        <v/>
      </c>
      <c r="N4" s="6">
        <f>IF(J4="","未回答","回答済")</f>
        <v/>
      </c>
    </row>
    <row r="5" ht="120" customHeight="1">
      <c r="A5" s="2" t="n">
        <v>4</v>
      </c>
      <c r="B5" s="2" t="inlineStr">
        <is>
          <t>購入</t>
        </is>
      </c>
      <c r="C5" s="2" t="inlineStr">
        <is>
          <t>中</t>
        </is>
      </c>
      <c r="D5" s="2" t="inlineStr">
        <is>
          <t>アプリの会員のほかに、ESQR（アプリを使わずQRコードから購入）で買う方とゲストがいます。
購入管理の画面で、この方たちにもアプリ会員と同じようにユーザーIDを表示しますか？</t>
        </is>
      </c>
      <c r="E5" s="2" t="inlineStr">
        <is>
          <t>A. 表示する（1人ずつユーザーIDがあり、人ごとの購入履歴を見られる）</t>
        </is>
      </c>
      <c r="F5" s="2" t="inlineStr">
        <is>
          <t>B. 表示しない（ユーザーIDの欄は「—」）</t>
        </is>
      </c>
      <c r="G5" s="2" t="inlineStr">
        <is>
          <t>ESQR とゲストの購入を人ごとに見る・集計するかが決まります。</t>
        </is>
      </c>
      <c r="H5" s="2" t="inlineStr">
        <is>
          <t>A（購入・決済・返金の仕様のとおり）</t>
        </is>
      </c>
      <c r="I5" s="2" t="inlineStr">
        <is>
          <t>ユーザーIDの欄を空にし、ESQR・ゲストの人ごとの集計をなくします。</t>
        </is>
      </c>
      <c r="J5" s="6">
        <f>IF('Q&amp;A (VI)'!J5="","",IF('Q&amp;A (VI)'!J5="Khác","その他",'Q&amp;A (VI)'!J5))</f>
        <v/>
      </c>
      <c r="K5" s="6">
        <f>IF('Q&amp;A (VI)'!K5="","",'Q&amp;A (VI)'!K5)</f>
        <v/>
      </c>
      <c r="L5" s="6">
        <f>IF('Q&amp;A (VI)'!L5="","",'Q&amp;A (VI)'!L5)</f>
        <v/>
      </c>
      <c r="M5" s="6">
        <f>IF('Q&amp;A (VI)'!M5="","",'Q&amp;A (VI)'!M5)</f>
        <v/>
      </c>
      <c r="N5" s="6">
        <f>IF(J5="","未回答","回答済")</f>
        <v/>
      </c>
    </row>
    <row r="6" ht="120" customHeight="1">
      <c r="A6" s="2" t="n">
        <v>5</v>
      </c>
      <c r="B6" s="2" t="inlineStr">
        <is>
          <t>お申し込み</t>
        </is>
      </c>
      <c r="C6" s="2" t="inlineStr">
        <is>
          <t>高</t>
        </is>
      </c>
      <c r="D6" s="2" t="inlineStr">
        <is>
          <t>運営が新規のお申し込みを「仮登録」すると、ログイン案内のメール（初期パスワード付き）を送ります。
このメールは誰に送りますか？</t>
        </is>
      </c>
      <c r="E6" s="2" t="inlineStr">
        <is>
          <t>A. お申し込みに書かれた担当者全員（メイン・サブ・請求担当）</t>
        </is>
      </c>
      <c r="F6" s="2" t="inlineStr">
        <is>
          <t>B. メイン担当者と申込者だけ</t>
        </is>
      </c>
      <c r="G6" s="2" t="inlineStr">
        <is>
          <t>初期パスワードを受け取る人が決まります。送り先を誤るとセキュリティの問題になります。</t>
        </is>
      </c>
      <c r="H6" s="2" t="inlineStr">
        <is>
          <t>B（これまでの決定のとおり。メールの一覧は回答に合わせて直します）</t>
        </is>
      </c>
      <c r="I6" s="2" t="inlineStr">
        <is>
          <t>メールの送り先を変更し、メール一覧を直します。</t>
        </is>
      </c>
      <c r="J6" s="6">
        <f>IF('Q&amp;A (VI)'!J6="","",IF('Q&amp;A (VI)'!J6="Khác","その他",'Q&amp;A (VI)'!J6))</f>
        <v/>
      </c>
      <c r="K6" s="6">
        <f>IF('Q&amp;A (VI)'!K6="","",'Q&amp;A (VI)'!K6)</f>
        <v/>
      </c>
      <c r="L6" s="6">
        <f>IF('Q&amp;A (VI)'!L6="","",'Q&amp;A (VI)'!L6)</f>
        <v/>
      </c>
      <c r="M6" s="6">
        <f>IF('Q&amp;A (VI)'!M6="","",'Q&amp;A (VI)'!M6)</f>
        <v/>
      </c>
      <c r="N6" s="6">
        <f>IF(J6="","未回答","回答済")</f>
        <v/>
      </c>
    </row>
    <row r="7" ht="120" customHeight="1">
      <c r="A7" s="2" t="n">
        <v>6</v>
      </c>
      <c r="B7" s="2" t="inlineStr">
        <is>
          <t>入荷</t>
        </is>
      </c>
      <c r="C7" s="2" t="inlineStr">
        <is>
          <t>中</t>
        </is>
      </c>
      <c r="D7" s="2" t="inlineStr">
        <is>
          <t>賞味期限は、仕入先が発注を承認するときに入力します。入荷時、倉庫の担当者は数量とケース数を入力します。
入荷のとき、賞味期限をもう一度入力しますか？</t>
        </is>
      </c>
      <c r="E7" s="2" t="inlineStr">
        <is>
          <t>A. 入力しない（入荷画面は仕入先が入力した賞味期限を表示するだけ）</t>
        </is>
      </c>
      <c r="F7" s="2" t="inlineStr">
        <is>
          <t>B. 入力する（入荷時に実際の賞味期限を必須で入力）</t>
        </is>
      </c>
      <c r="G7" s="2" t="inlineStr">
        <is>
          <t>倉庫の作業と、在庫管理に使う賞味期限の出どころが決まります。</t>
        </is>
      </c>
      <c r="H7" s="2" t="inlineStr">
        <is>
          <t>A（新しいほうの決まり：10/08）</t>
        </is>
      </c>
      <c r="I7" s="2" t="inlineStr">
        <is>
          <t>入荷画面に賞味期限の必須入力欄を追加します。</t>
        </is>
      </c>
      <c r="J7" s="6">
        <f>IF('Q&amp;A (VI)'!J7="","",IF('Q&amp;A (VI)'!J7="Khác","その他",'Q&amp;A (VI)'!J7))</f>
        <v/>
      </c>
      <c r="K7" s="6">
        <f>IF('Q&amp;A (VI)'!K7="","",'Q&amp;A (VI)'!K7)</f>
        <v/>
      </c>
      <c r="L7" s="6">
        <f>IF('Q&amp;A (VI)'!L7="","",'Q&amp;A (VI)'!L7)</f>
        <v/>
      </c>
      <c r="M7" s="6">
        <f>IF('Q&amp;A (VI)'!M7="","",'Q&amp;A (VI)'!M7)</f>
        <v/>
      </c>
      <c r="N7" s="6">
        <f>IF(J7="","未回答","回答済")</f>
        <v/>
      </c>
    </row>
    <row r="8" ht="120" customHeight="1">
      <c r="A8" s="2" t="n">
        <v>7</v>
      </c>
      <c r="B8" s="2" t="inlineStr">
        <is>
          <t>仕入先</t>
        </is>
      </c>
      <c r="C8" s="2" t="inlineStr">
        <is>
          <t>低</t>
        </is>
      </c>
      <c r="D8" s="2" t="inlineStr">
        <is>
          <t>仕入先サイトにお知らせの一覧ページがあります。
1ページに何件表示しますか？</t>
        </is>
      </c>
      <c r="E8" s="2" t="inlineStr">
        <is>
          <t>A. 10／20／50／100 件から選べる（ほかの一覧と同じ）</t>
        </is>
      </c>
      <c r="F8" s="2" t="inlineStr">
        <is>
          <t>B. 10件固定</t>
        </is>
      </c>
      <c r="G8" s="2" t="inlineStr">
        <is>
          <t>サイト間で一覧の表示をそろえます。</t>
        </is>
      </c>
      <c r="H8" s="2" t="inlineStr">
        <is>
          <t>A（一覧の表の共通の決まり：10/18）</t>
        </is>
      </c>
      <c r="I8" s="2" t="inlineStr">
        <is>
          <t>このページの件数の選択をなくします。</t>
        </is>
      </c>
      <c r="J8" s="6">
        <f>IF('Q&amp;A (VI)'!J8="","",IF('Q&amp;A (VI)'!J8="Khác","その他",'Q&amp;A (VI)'!J8))</f>
        <v/>
      </c>
      <c r="K8" s="6">
        <f>IF('Q&amp;A (VI)'!K8="","",'Q&amp;A (VI)'!K8)</f>
        <v/>
      </c>
      <c r="L8" s="6">
        <f>IF('Q&amp;A (VI)'!L8="","",'Q&amp;A (VI)'!L8)</f>
        <v/>
      </c>
      <c r="M8" s="6">
        <f>IF('Q&amp;A (VI)'!M8="","",'Q&amp;A (VI)'!M8)</f>
        <v/>
      </c>
      <c r="N8" s="6">
        <f>IF(J8="","未回答","回答済")</f>
        <v/>
      </c>
    </row>
    <row r="9" ht="120" customHeight="1">
      <c r="A9" s="2" t="n">
        <v>8</v>
      </c>
      <c r="B9" s="2" t="inlineStr">
        <is>
          <t>購入</t>
        </is>
      </c>
      <c r="C9" s="2" t="inlineStr">
        <is>
          <t>中</t>
        </is>
      </c>
      <c r="D9" s="2" t="inlineStr">
        <is>
          <t>アプリの購入は、30分以内に支払いが終わらないとキャンセルになります。購入管理の画面には、キャンセルの購入を「支払済」に直す操作があります（理由は必須、在庫も減ります）。
この操作はどの役割にできるようにしますか？</t>
        </is>
      </c>
      <c r="E9" s="2" t="inlineStr">
        <is>
          <t>A. フル権限とシステム管理</t>
        </is>
      </c>
      <c r="F9" s="2" t="inlineStr">
        <is>
          <t>B. フル権限だけ</t>
        </is>
      </c>
      <c r="G9" s="2" t="inlineStr">
        <is>
          <t>お金と在庫に関わる操作なので、できる人を限定します。</t>
        </is>
      </c>
      <c r="H9" s="2" t="inlineStr">
        <is>
          <t>B（10/07 の決定。画面設計はシステム管理も含めているので、回答に合わせて直します）</t>
        </is>
      </c>
      <c r="I9" s="2" t="inlineStr">
        <is>
          <t>システム管理にも権限を付け、権限表を直します。</t>
        </is>
      </c>
      <c r="J9" s="6">
        <f>IF('Q&amp;A (VI)'!J9="","",IF('Q&amp;A (VI)'!J9="Khác","その他",'Q&amp;A (VI)'!J9))</f>
        <v/>
      </c>
      <c r="K9" s="6">
        <f>IF('Q&amp;A (VI)'!K9="","",'Q&amp;A (VI)'!K9)</f>
        <v/>
      </c>
      <c r="L9" s="6">
        <f>IF('Q&amp;A (VI)'!L9="","",'Q&amp;A (VI)'!L9)</f>
        <v/>
      </c>
      <c r="M9" s="6">
        <f>IF('Q&amp;A (VI)'!M9="","",'Q&amp;A (VI)'!M9)</f>
        <v/>
      </c>
      <c r="N9" s="6">
        <f>IF(J9="","未回答","回答済")</f>
        <v/>
      </c>
    </row>
    <row r="10" ht="120" customHeight="1">
      <c r="A10" s="2" t="n">
        <v>9</v>
      </c>
      <c r="B10" s="2" t="inlineStr">
        <is>
          <t>委託配送先</t>
        </is>
      </c>
      <c r="C10" s="2" t="inlineStr">
        <is>
          <t>中</t>
        </is>
      </c>
      <c r="D10" s="2" t="inlineStr">
        <is>
          <t>運営は、期限を付けて複数の委託配送先に見積を依頼します。
期限を過ぎても運営がまだ1社に決めず、依頼も取り消していないとき、委託配送先は見積を回答できますか？</t>
        </is>
      </c>
      <c r="E10" s="2" t="inlineStr">
        <is>
          <t>A. 回答できる（運営が決定または取消をするまで）</t>
        </is>
      </c>
      <c r="F10" s="2" t="inlineStr">
        <is>
          <t>B. 回答できない（期限を過ぎたら委託配送先の画面は「期限切れ」になり、回答ボタンを止める）</t>
        </is>
      </c>
      <c r="G10" s="2" t="inlineStr">
        <is>
          <t>遅れて届く見積を受け付けるか、受け付ける前に期限の延長が必要かが決まります。</t>
        </is>
      </c>
      <c r="H10" s="2" t="inlineStr">
        <is>
          <t>A（10/18 の決定）</t>
        </is>
      </c>
      <c r="I10" s="2" t="inlineStr">
        <is>
          <t>期限を過ぎたら回答ボタンを止めます。追加で受けたいときは運営が期限を延ばします。</t>
        </is>
      </c>
      <c r="J10" s="6">
        <f>IF('Q&amp;A (VI)'!J10="","",IF('Q&amp;A (VI)'!J10="Khác","その他",'Q&amp;A (VI)'!J10))</f>
        <v/>
      </c>
      <c r="K10" s="6">
        <f>IF('Q&amp;A (VI)'!K10="","",'Q&amp;A (VI)'!K10)</f>
        <v/>
      </c>
      <c r="L10" s="6">
        <f>IF('Q&amp;A (VI)'!L10="","",'Q&amp;A (VI)'!L10)</f>
        <v/>
      </c>
      <c r="M10" s="6">
        <f>IF('Q&amp;A (VI)'!M10="","",'Q&amp;A (VI)'!M10)</f>
        <v/>
      </c>
      <c r="N10" s="6">
        <f>IF(J10="","未回答","回答済")</f>
        <v/>
      </c>
    </row>
    <row r="11" ht="120" customHeight="1">
      <c r="A11" s="2" t="n">
        <v>10</v>
      </c>
      <c r="B11" s="2" t="inlineStr">
        <is>
          <t>解約</t>
        </is>
      </c>
      <c r="C11" s="2" t="inlineStr">
        <is>
          <t>高</t>
        </is>
      </c>
      <c r="D11" s="2" t="inlineStr">
        <is>
          <t>拠点が解約すると、最終の請求書の支払いが終わるまでアカウントは参照のみになります。
アカウントを停止するのはいつですか？</t>
        </is>
      </c>
      <c r="E11" s="2" t="inlineStr">
        <is>
          <t>A. 最終の請求書の入金期限の翌日に自動で停止</t>
        </is>
      </c>
      <c r="F11" s="2" t="inlineStr">
        <is>
          <t>B. 解約月の月末に運営が手で停止</t>
        </is>
      </c>
      <c r="G11" s="2" t="inlineStr">
        <is>
          <t>お客様が最終の請求書や最後の棚卸報告をいつまで使えるか、運営に手作業が要るかが決まります。</t>
        </is>
      </c>
      <c r="H11" s="2" t="inlineStr">
        <is>
          <t>A（10/18 の決定。10/16 の決定より新しい）</t>
        </is>
      </c>
      <c r="I11" s="2" t="inlineStr">
        <is>
          <t>自動停止をなくし、月末に運営の作業を追加します。</t>
        </is>
      </c>
      <c r="J11" s="6">
        <f>IF('Q&amp;A (VI)'!J11="","",IF('Q&amp;A (VI)'!J11="Khác","その他",'Q&amp;A (VI)'!J11))</f>
        <v/>
      </c>
      <c r="K11" s="6">
        <f>IF('Q&amp;A (VI)'!K11="","",'Q&amp;A (VI)'!K11)</f>
        <v/>
      </c>
      <c r="L11" s="6">
        <f>IF('Q&amp;A (VI)'!L11="","",'Q&amp;A (VI)'!L11)</f>
        <v/>
      </c>
      <c r="M11" s="6">
        <f>IF('Q&amp;A (VI)'!M11="","",'Q&amp;A (VI)'!M11)</f>
        <v/>
      </c>
      <c r="N11" s="6">
        <f>IF(J11="","未回答","回答済")</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70" customWidth="1" min="3" max="3"/>
    <col width="18" customWidth="1" min="4" max="4"/>
    <col width="36" customWidth="1" min="5" max="5"/>
  </cols>
  <sheetData>
    <row r="1">
      <c r="A1" s="4" t="inlineStr">
        <is>
          <t>No</t>
        </is>
      </c>
      <c r="B1" s="4" t="inlineStr">
        <is>
          <t>Nhóm</t>
        </is>
      </c>
      <c r="C1" s="4" t="inlineStr">
        <is>
          <t>Các nguồn đang khác nhau (file · mục)</t>
        </is>
      </c>
      <c r="D1" s="4" t="inlineStr">
        <is>
          <t>Sơ đồ đang vẽ theo</t>
        </is>
      </c>
      <c r="E1" s="4" t="inlineStr">
        <is>
          <t>Ảnh hưởng (flow · màn hình)</t>
        </is>
      </c>
    </row>
    <row r="2" ht="48" customHeight="1">
      <c r="A2" s="2" t="n">
        <v>1</v>
      </c>
      <c r="B2" s="2" t="inlineStr">
        <is>
          <t>Mẫu kinh doanh</t>
        </is>
      </c>
      <c r="C2" s="2" t="inlineStr">
        <is>
          <t>営業サンプル.md 2-13（2営業日前【仮】）／台帳 AL（毎週 17:00）／台帳 AM #715（前週金曜 17:00、暫定）</t>
        </is>
      </c>
      <c r="D2" s="2" t="inlineStr">
        <is>
          <t>#715（A）</t>
        </is>
      </c>
      <c r="E2" s="2" t="inlineStr">
        <is>
          <t>Flow: Mẫu kinh doanh · Màn: AW_SMP</t>
        </is>
      </c>
    </row>
    <row r="3" ht="48" customHeight="1">
      <c r="A3" s="2" t="n">
        <v>2</v>
      </c>
      <c r="B3" s="2" t="inlineStr">
        <is>
          <t>Giao hàng</t>
        </is>
      </c>
      <c r="C3" s="2" t="inlineStr">
        <is>
          <t>配送_12 §15.14（必須）／配送_08 §15-13・台帳 W（任意）</t>
        </is>
      </c>
      <c r="D3" s="2" t="inlineStr">
        <is>
          <t>Tùy chọn（A）</t>
        </is>
      </c>
      <c r="E3" s="2" t="inlineStr">
        <is>
          <t>Flow: AW_DLVMNG · Màn: AW_DLVR</t>
        </is>
      </c>
    </row>
    <row r="4" ht="48" customHeight="1">
      <c r="A4" s="2" t="n">
        <v>3</v>
      </c>
      <c r="B4" s="2" t="inlineStr">
        <is>
          <t>Giao hàng</t>
        </is>
      </c>
      <c r="C4" s="2" t="inlineStr">
        <is>
          <t>配送_06 §11-2（翌日 06:00）／台帳 AL Q221（0:00 に統一）。チェーンが5ジョブか6ジョブか（配送_12 §16.13【要確認】）は社内で確認</t>
        </is>
      </c>
      <c r="D4" s="2" t="inlineStr">
        <is>
          <t>0:00（A）</t>
        </is>
      </c>
      <c r="E4" s="2" t="inlineStr">
        <is>
          <t>Flow: Chuỗi batch giao hàng · Tổng quan</t>
        </is>
      </c>
    </row>
    <row r="5" ht="48" customHeight="1">
      <c r="A5" s="2" t="n">
        <v>4</v>
      </c>
      <c r="B5" s="2" t="inlineStr">
        <is>
          <t>Mua hàng</t>
        </is>
      </c>
      <c r="C5" s="2" t="inlineStr">
        <is>
          <t>購入・決済・返金.md §1-4（ユーザーIDあり）／画面設計書 AW_SALE 11.1（—）</t>
        </is>
      </c>
      <c r="D5" s="2" t="inlineStr">
        <is>
          <t>Có（A）</t>
        </is>
      </c>
      <c r="E5" s="2" t="inlineStr">
        <is>
          <t>Flow: AW_SALE · Màn: AW_SALE</t>
        </is>
      </c>
    </row>
    <row r="6" ht="48" customHeight="1">
      <c r="A6" s="2" t="n">
        <v>5</v>
      </c>
      <c r="B6" s="2" t="inlineStr">
        <is>
          <t>Đăng ký doanh nghiệp</t>
        </is>
      </c>
      <c r="C6" s="2" t="inlineStr">
        <is>
          <t>メール一覧_申込・申請・申込フォーム §10-6（全員）／台帳 L1183（メイン＋申込者）</t>
        </is>
      </c>
      <c r="D6" s="2" t="inlineStr">
        <is>
          <t>Ghi cả hai, 要確認</t>
        </is>
      </c>
      <c r="E6" s="2" t="inlineStr">
        <is>
          <t>Flow: Đăng ký mới · Màn: AW_INTK</t>
        </is>
      </c>
    </row>
    <row r="7" ht="48" customHeight="1">
      <c r="A7" s="2" t="n">
        <v>6</v>
      </c>
      <c r="B7" s="2" t="inlineStr">
        <is>
          <t>Nhập kho</t>
        </is>
      </c>
      <c r="C7" s="2" t="inlineStr">
        <is>
          <t>発注・仕入・入荷 §8-2a（入力しない・新）／§8-2b（必須・旧）</t>
        </is>
      </c>
      <c r="D7" s="2" t="inlineStr">
        <is>
          <t>Không nhập（A）</t>
        </is>
      </c>
      <c r="E7" s="2" t="inlineStr">
        <is>
          <t>Flow: Đặt hàng · nhập kho · Màn: AW_RECV</t>
        </is>
      </c>
    </row>
    <row r="8" ht="48" customHeight="1">
      <c r="A8" s="2" t="n">
        <v>7</v>
      </c>
      <c r="B8" s="2" t="inlineStr">
        <is>
          <t>Nhà cung cấp</t>
        </is>
      </c>
      <c r="C8" s="2" t="inlineStr">
        <is>
          <t>画面設計書 SW_HOME（10/20/50/100）／発注 §5-15・台帳 S（10件ずつ）</t>
        </is>
      </c>
      <c r="D8" s="2" t="inlineStr">
        <is>
          <t>Chọn được（A）</t>
        </is>
      </c>
      <c r="E8" s="2" t="inlineStr">
        <is>
          <t>Flow: SW_HOME · Màn: SW_HOME_003</t>
        </is>
      </c>
    </row>
    <row r="9" ht="48" customHeight="1">
      <c r="A9" s="2" t="n">
        <v>8</v>
      </c>
      <c r="B9" s="2" t="inlineStr">
        <is>
          <t>Mua hàng</t>
        </is>
      </c>
      <c r="C9" s="2" t="inlineStr">
        <is>
          <t>台帳 F 2026-10-07（フル権限だけ）／画面設計書 AW_SALE 11.17（＋システム管理）</t>
        </is>
      </c>
      <c r="D9" s="2" t="inlineStr">
        <is>
          <t>Theo thiết kế（A）</t>
        </is>
      </c>
      <c r="E9" s="2" t="inlineStr">
        <is>
          <t>Flow: AW_SALE · Màn: AW_SALE</t>
        </is>
      </c>
    </row>
    <row r="10" ht="48" customHeight="1">
      <c r="A10" s="2" t="n">
        <v>9</v>
      </c>
      <c r="B10" s="2" t="inlineStr">
        <is>
          <t>Đối tác vận chuyển</t>
        </is>
      </c>
      <c r="C10" s="2" t="inlineStr">
        <is>
          <t>台帳 AT #41（続き③：依頼中なら回答できる）／画面設計書 OW_QUOT_001（期限切れは回答不可）</t>
        </is>
      </c>
      <c r="D10" s="2" t="inlineStr">
        <is>
          <t>Được（A）</t>
        </is>
      </c>
      <c r="E10" s="2" t="inlineStr">
        <is>
          <t>Flow: Yêu cầu báo giá · Màn: AW_QUOT · OW_QUOT</t>
        </is>
      </c>
    </row>
    <row r="11" ht="48" customHeight="1">
      <c r="A11" s="2" t="n">
        <v>10</v>
      </c>
      <c r="B11" s="2" t="inlineStr">
        <is>
          <t>Hủy hợp đồng</t>
        </is>
      </c>
      <c r="C11" s="2" t="inlineStr">
        <is>
          <t>台帳 AS #779・申請・承認 §6-8（入金期限の翌日）／台帳 AL ⑧ 2026-10-16（解約月末に運営が停止）</t>
        </is>
      </c>
      <c r="D11" s="2" t="inlineStr">
        <is>
          <t>#779（A）</t>
        </is>
      </c>
      <c r="E11" s="2" t="inlineStr">
        <is>
          <t>Flow: Hủy hợp đồng – hóa đơn cuối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2026-10-20T09:19:28Z</dcterms:created>
  <dcterms:modified xmlns:dcterms="http://purl.org/dc/terms/" xmlns:xsi="http://www.w3.org/2001/XMLSchema-instance" xsi:type="dcterms:W3CDTF">2026-10-20T09:19:28Z</dcterms:modified>
</cp:coreProperties>
</file>