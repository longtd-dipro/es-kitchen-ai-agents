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est view point" sheetId="1" state="visible" r:id="rId1"/>
    <sheet name="Summary" sheetId="2" state="visible" r:id="rId2"/>
    <sheet name="Agency List &amp; Registration" sheetId="3" state="visible" r:id="rId3"/>
    <sheet name="Agency Detail 5 Tabs" sheetId="4" state="visible" r:id="rId4"/>
    <sheet name="Referral Management" sheetId="5" state="visible" r:id="rId5"/>
    <sheet name="Sales &amp; Fee Payment" sheetId="6" state="visible" r:id="rId6"/>
    <sheet name="Referral Dashboard" sheetId="7" state="visible" r:id="rId7"/>
    <sheet name="Screen name_evidence" sheetId="8" state="visible" r:id="rId8"/>
    <sheet name="Test Cases — Quản lý Đại lý" sheetId="9" state="visible" r:id="rId9"/>
    <sheet name="Traceability AC to TC" sheetId="10" state="visible" r:id="rId10"/>
    <sheet name="Open Questions" sheetId="11" state="visible" r:id="rId11"/>
  </sheets>
  <definedNames/>
  <calcPr calcId="124519" fullCalcOnLoad="1"/>
</workbook>
</file>

<file path=xl/styles.xml><?xml version="1.0" encoding="utf-8"?>
<styleSheet xmlns="http://schemas.openxmlformats.org/spreadsheetml/2006/main">
  <numFmts count="2">
    <numFmt numFmtId="164" formatCode="0.0%"/>
    <numFmt numFmtId="165" formatCode="mm/dd/yyyy"/>
  </numFmts>
  <fonts count="19">
    <font>
      <name val="Arial"/>
      <color rgb="FF000000"/>
      <sz val="10"/>
      <scheme val="minor"/>
    </font>
    <font>
      <name val="Arial"/>
      <color theme="1"/>
      <scheme val="minor"/>
    </font>
    <font>
      <name val="Arial"/>
      <color theme="1"/>
    </font>
    <font>
      <name val="Arial"/>
      <b val="1"/>
      <color theme="1"/>
    </font>
    <font/>
    <font>
      <name val="Arial"/>
      <color rgb="FFFFFFFF"/>
      <sz val="12"/>
      <scheme val="minor"/>
    </font>
    <font>
      <name val="Arial"/>
      <color rgb="FF000000"/>
      <scheme val="minor"/>
    </font>
    <font>
      <name val="Arial"/>
      <color rgb="FF0000FF"/>
      <u val="single"/>
    </font>
    <font>
      <name val="&quot;Google Sans&quot;"/>
      <color rgb="FF222222"/>
      <sz val="11"/>
    </font>
    <font>
      <name val="Arial"/>
      <color rgb="FF000000"/>
    </font>
    <font>
      <name val="Arial"/>
      <b val="1"/>
      <color theme="1"/>
      <scheme val="minor"/>
    </font>
    <font>
      <name val="Arial"/>
      <color theme="1"/>
      <sz val="10"/>
      <scheme val="minor"/>
    </font>
    <font>
      <name val="Arial"/>
      <b val="1"/>
      <color theme="1"/>
      <sz val="10"/>
      <scheme val="minor"/>
    </font>
    <font>
      <name val="Arial"/>
      <color theme="1"/>
      <sz val="9"/>
      <scheme val="minor"/>
    </font>
    <font>
      <name val="Arial"/>
      <color theme="1"/>
      <sz val="11"/>
      <scheme val="minor"/>
    </font>
    <font>
      <name val="Arial"/>
      <b val="1"/>
      <color theme="1"/>
      <sz val="11"/>
    </font>
    <font>
      <name val="Arial"/>
      <b val="1"/>
      <color theme="1"/>
      <sz val="12"/>
      <scheme val="minor"/>
    </font>
    <font>
      <i val="1"/>
      <color rgb="00555555"/>
      <sz val="10"/>
    </font>
    <font>
      <b val="1"/>
      <color rgb="00FFFFFF"/>
      <sz val="10"/>
    </font>
  </fonts>
  <fills count="7">
    <fill>
      <patternFill/>
    </fill>
    <fill>
      <patternFill patternType="lightGray"/>
    </fill>
    <fill>
      <patternFill patternType="solid">
        <fgColor theme="9"/>
        <bgColor theme="9"/>
      </patternFill>
    </fill>
    <fill>
      <patternFill patternType="solid">
        <fgColor rgb="FFFFFFFF"/>
        <bgColor rgb="FFFFFFFF"/>
      </patternFill>
    </fill>
    <fill>
      <patternFill patternType="solid">
        <fgColor rgb="FF46BDC6"/>
        <bgColor rgb="FF46BDC6"/>
      </patternFill>
    </fill>
    <fill>
      <patternFill patternType="solid">
        <fgColor theme="0"/>
        <bgColor theme="0"/>
      </patternFill>
    </fill>
    <fill>
      <patternFill patternType="solid">
        <fgColor rgb="0046BDC6"/>
        <bgColor rgb="0046BDC6"/>
      </patternFill>
    </fill>
  </fills>
  <borders count="26">
    <border/>
    <border>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ttom style="medium">
        <color rgb="FF000000"/>
      </bottom>
    </border>
    <border>
      <right style="thin">
        <color rgb="FF000000"/>
      </right>
      <top style="medium">
        <color rgb="FF000000"/>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tted">
        <color rgb="FF46BDC6"/>
      </left>
      <right style="dotted">
        <color rgb="FF46BDC6"/>
      </right>
      <top style="dotted">
        <color rgb="FF46BDC6"/>
      </top>
    </border>
    <border>
      <left style="dotted">
        <color rgb="FF46BDC6"/>
      </left>
      <top style="dotted">
        <color rgb="FF46BDC6"/>
      </top>
    </border>
    <border>
      <left style="thin">
        <color rgb="FFFFFFFF"/>
      </left>
      <right style="thin">
        <color rgb="FFFFFFFF"/>
      </right>
      <top style="thin">
        <color rgb="FFFFFFFF"/>
      </top>
      <bottom style="thin">
        <color rgb="FFFFFFFF"/>
      </bottom>
    </border>
    <border>
      <left style="thin">
        <color rgb="FF46BDC6"/>
      </left>
      <right style="thin">
        <color rgb="FF46BDC6"/>
      </right>
      <top style="thin">
        <color rgb="FF46BDC6"/>
      </top>
      <bottom style="thin">
        <color rgb="FF46BDC6"/>
      </bottom>
    </border>
    <border>
      <left style="thin">
        <color rgb="FF46BDC6"/>
      </left>
      <right style="thin">
        <color rgb="FF46BDC6"/>
      </right>
      <bottom style="thin">
        <color rgb="FF46BDC6"/>
      </bottom>
    </border>
    <border>
      <left style="thin">
        <color rgb="FF000000"/>
      </left>
      <top style="thin">
        <color rgb="FF000000"/>
      </top>
      <bottom style="thin">
        <color rgb="FF000000"/>
      </bottom>
    </border>
    <border>
      <top style="thin">
        <color rgb="FFFFFFFF"/>
      </top>
    </border>
    <border>
      <right style="thin">
        <color rgb="FFFFFFFF"/>
      </right>
      <top style="thin">
        <color rgb="FFFFFFFF"/>
      </top>
    </border>
    <border>
      <left style="thin">
        <color rgb="00CCCCCC"/>
      </left>
      <right style="thin">
        <color rgb="00CCCCCC"/>
      </right>
      <top style="thin">
        <color rgb="00CCCCCC"/>
      </top>
      <bottom style="thin">
        <color rgb="00CCCCCC"/>
      </bottom>
    </border>
  </borders>
  <cellStyleXfs count="1">
    <xf numFmtId="0" fontId="0" fillId="0" borderId="0"/>
  </cellStyleXfs>
  <cellXfs count="105">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2" fillId="0" borderId="1" applyAlignment="1" pivotButton="0" quotePrefix="0" xfId="0">
      <alignment vertical="center"/>
    </xf>
    <xf numFmtId="0" fontId="2" fillId="0" borderId="2" applyAlignment="1" pivotButton="0" quotePrefix="0" xfId="0">
      <alignment vertical="center"/>
    </xf>
    <xf numFmtId="0" fontId="3" fillId="2" borderId="3" applyAlignment="1" pivotButton="0" quotePrefix="0" xfId="0">
      <alignment horizontal="center" vertical="center"/>
    </xf>
    <xf numFmtId="0" fontId="3" fillId="2" borderId="4" applyAlignment="1" pivotButton="0" quotePrefix="0" xfId="0">
      <alignment horizontal="center" vertical="center" wrapText="1"/>
    </xf>
    <xf numFmtId="0" fontId="2" fillId="0" borderId="5" applyAlignment="1" pivotButton="0" quotePrefix="0" xfId="0">
      <alignment horizontal="center" vertical="center"/>
    </xf>
    <xf numFmtId="0" fontId="3" fillId="0" borderId="2" applyAlignment="1" pivotButton="0" quotePrefix="0" xfId="0">
      <alignment vertical="center" wrapText="1"/>
    </xf>
    <xf numFmtId="0" fontId="2" fillId="0" borderId="6" applyAlignment="1" pivotButton="0" quotePrefix="0" xfId="0">
      <alignment vertical="center" wrapText="1"/>
    </xf>
    <xf numFmtId="0" fontId="4" fillId="0" borderId="2" pivotButton="0" quotePrefix="0" xfId="0"/>
    <xf numFmtId="0" fontId="2" fillId="0" borderId="6" applyAlignment="1" pivotButton="0" quotePrefix="0" xfId="0">
      <alignment vertical="center" wrapText="1"/>
    </xf>
    <xf numFmtId="0" fontId="2" fillId="3" borderId="6" applyAlignment="1" pivotButton="0" quotePrefix="0" xfId="0">
      <alignment vertical="center" wrapText="1"/>
    </xf>
    <xf numFmtId="0" fontId="2" fillId="3" borderId="6" applyAlignment="1" pivotButton="0" quotePrefix="0" xfId="0">
      <alignment vertical="center" wrapText="1"/>
    </xf>
    <xf numFmtId="0" fontId="2" fillId="0" borderId="7" applyAlignment="1" pivotButton="0" quotePrefix="0" xfId="0">
      <alignment horizontal="center" vertical="center"/>
    </xf>
    <xf numFmtId="0" fontId="4" fillId="0" borderId="6" pivotButton="0" quotePrefix="0" xfId="0"/>
    <xf numFmtId="0" fontId="2" fillId="3" borderId="3" applyAlignment="1" pivotButton="0" quotePrefix="0" xfId="0">
      <alignment vertical="center" wrapText="1"/>
    </xf>
    <xf numFmtId="0" fontId="2" fillId="0" borderId="8" applyAlignment="1" pivotButton="0" quotePrefix="0" xfId="0">
      <alignment horizontal="center" vertical="center"/>
    </xf>
    <xf numFmtId="0" fontId="2" fillId="0" borderId="8"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horizontal="center" vertical="center"/>
    </xf>
    <xf numFmtId="0" fontId="2" fillId="0" borderId="6" applyAlignment="1" pivotButton="0" quotePrefix="0" xfId="0">
      <alignment vertical="center" wrapText="1"/>
    </xf>
    <xf numFmtId="0" fontId="2" fillId="0" borderId="2" applyAlignment="1" pivotButton="0" quotePrefix="0" xfId="0">
      <alignment vertical="center" wrapText="1"/>
    </xf>
    <xf numFmtId="0" fontId="3" fillId="3"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vertical="center" wrapText="1"/>
    </xf>
    <xf numFmtId="0" fontId="2" fillId="0" borderId="2" applyAlignment="1" pivotButton="0" quotePrefix="0" xfId="0">
      <alignment vertical="center" wrapText="1"/>
    </xf>
    <xf numFmtId="0" fontId="3" fillId="0"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wrapText="1"/>
    </xf>
    <xf numFmtId="0" fontId="2" fillId="0" borderId="10" applyAlignment="1" pivotButton="0" quotePrefix="0" xfId="0">
      <alignment horizontal="center" vertical="center"/>
    </xf>
    <xf numFmtId="0" fontId="2" fillId="0" borderId="7" applyAlignment="1" pivotButton="0" quotePrefix="0" xfId="0">
      <alignment wrapText="1"/>
    </xf>
    <xf numFmtId="0" fontId="2" fillId="0" borderId="3" applyAlignment="1" pivotButton="0" quotePrefix="0" xfId="0">
      <alignment wrapText="1"/>
    </xf>
    <xf numFmtId="0" fontId="2" fillId="0" borderId="7" applyAlignment="1" pivotButton="0" quotePrefix="0" xfId="0">
      <alignment wrapText="1"/>
    </xf>
    <xf numFmtId="0" fontId="2" fillId="3" borderId="9" applyAlignment="1" pivotButton="0" quotePrefix="0" xfId="0">
      <alignment vertical="center" wrapText="1"/>
    </xf>
    <xf numFmtId="0" fontId="2" fillId="3" borderId="2" applyAlignment="1" pivotButton="0" quotePrefix="0" xfId="0">
      <alignment vertical="center" wrapText="1"/>
    </xf>
    <xf numFmtId="0" fontId="2" fillId="0" borderId="11" applyAlignment="1" pivotButton="0" quotePrefix="0" xfId="0">
      <alignment vertical="center" wrapText="1"/>
    </xf>
    <xf numFmtId="0" fontId="2" fillId="0" borderId="12" applyAlignment="1" pivotButton="0" quotePrefix="0" xfId="0">
      <alignment horizontal="center" vertical="center"/>
    </xf>
    <xf numFmtId="0" fontId="2" fillId="0" borderId="13" applyAlignment="1" pivotButton="0" quotePrefix="0" xfId="0">
      <alignment vertical="center" wrapText="1"/>
    </xf>
    <xf numFmtId="0" fontId="3" fillId="0" borderId="9" applyAlignment="1" pivotButton="0" quotePrefix="0" xfId="0">
      <alignment vertical="center" wrapText="1"/>
    </xf>
    <xf numFmtId="0" fontId="1" fillId="0" borderId="0" applyAlignment="1" pivotButton="0" quotePrefix="0" xfId="0">
      <alignment horizontal="center"/>
    </xf>
    <xf numFmtId="0" fontId="5" fillId="2" borderId="14" applyAlignment="1" pivotButton="0" quotePrefix="0" xfId="0">
      <alignment horizontal="center" vertical="center"/>
    </xf>
    <xf numFmtId="0" fontId="4" fillId="0" borderId="15" pivotButton="0" quotePrefix="0" xfId="0"/>
    <xf numFmtId="0" fontId="4" fillId="0" borderId="16" pivotButton="0" quotePrefix="0" xfId="0"/>
    <xf numFmtId="0" fontId="5" fillId="2" borderId="14" applyAlignment="1" pivotButton="0" quotePrefix="0" xfId="0">
      <alignment horizontal="center" wrapText="1"/>
    </xf>
    <xf numFmtId="0" fontId="5" fillId="2" borderId="17" applyAlignment="1" pivotButton="0" quotePrefix="0" xfId="0">
      <alignment horizontal="center"/>
    </xf>
    <xf numFmtId="0" fontId="5" fillId="2" borderId="18" applyAlignment="1" pivotButton="0" quotePrefix="0" xfId="0">
      <alignment horizontal="center"/>
    </xf>
    <xf numFmtId="0" fontId="5" fillId="2" borderId="19" applyAlignment="1" pivotButton="0" quotePrefix="0" xfId="0">
      <alignment horizontal="center"/>
    </xf>
    <xf numFmtId="0" fontId="6" fillId="0" borderId="20" applyAlignment="1" pivotButton="0" quotePrefix="0" xfId="0">
      <alignment horizontal="center"/>
    </xf>
    <xf numFmtId="0" fontId="7" fillId="3" borderId="20" applyAlignment="1" pivotButton="0" quotePrefix="0" xfId="0">
      <alignment horizontal="center"/>
    </xf>
    <xf numFmtId="0" fontId="1" fillId="0" borderId="20" applyAlignment="1" pivotButton="0" quotePrefix="0" xfId="0">
      <alignment horizontal="center"/>
    </xf>
    <xf numFmtId="0" fontId="1" fillId="0" borderId="21" applyAlignment="1" pivotButton="0" quotePrefix="0" xfId="0">
      <alignment horizontal="center"/>
    </xf>
    <xf numFmtId="164" fontId="1" fillId="0" borderId="21" applyAlignment="1" pivotButton="0" quotePrefix="0" xfId="0">
      <alignment horizontal="center"/>
    </xf>
    <xf numFmtId="0" fontId="8" fillId="0" borderId="20" applyAlignment="1" pivotButton="0" quotePrefix="0" xfId="0">
      <alignment horizontal="center"/>
    </xf>
    <xf numFmtId="0" fontId="9" fillId="3" borderId="20" applyAlignment="1" pivotButton="0" quotePrefix="0" xfId="0">
      <alignment horizontal="center"/>
    </xf>
    <xf numFmtId="0" fontId="10" fillId="4" borderId="3" applyAlignment="1" pivotButton="0" quotePrefix="0" xfId="0">
      <alignment horizontal="center" vertical="center" wrapText="1"/>
    </xf>
    <xf numFmtId="0" fontId="10" fillId="4" borderId="3" applyAlignment="1" pivotButton="0" quotePrefix="0" xfId="0">
      <alignment horizontal="center" vertical="center" wrapText="1"/>
    </xf>
    <xf numFmtId="0" fontId="11" fillId="0" borderId="3" applyAlignment="1" pivotButton="0" quotePrefix="0" xfId="0">
      <alignment vertical="center"/>
    </xf>
    <xf numFmtId="0" fontId="1" fillId="0" borderId="3" applyAlignment="1" pivotButton="0" quotePrefix="0" xfId="0">
      <alignment vertical="center"/>
    </xf>
    <xf numFmtId="0" fontId="11" fillId="3" borderId="3" applyAlignment="1" pivotButton="0" quotePrefix="0" xfId="0">
      <alignment horizontal="center" vertical="center"/>
    </xf>
    <xf numFmtId="0" fontId="12" fillId="3" borderId="3" applyAlignment="1" pivotButton="0" quotePrefix="0" xfId="0">
      <alignment horizontal="center" vertical="center"/>
    </xf>
    <xf numFmtId="0" fontId="1" fillId="0" borderId="3" applyAlignment="1" pivotButton="0" quotePrefix="0" xfId="0">
      <alignment wrapText="1"/>
    </xf>
    <xf numFmtId="0" fontId="1" fillId="0" borderId="3" pivotButton="0" quotePrefix="0" xfId="0"/>
    <xf numFmtId="0" fontId="1" fillId="0" borderId="3" applyAlignment="1" pivotButton="0" quotePrefix="0" xfId="0">
      <alignment wrapText="1"/>
    </xf>
    <xf numFmtId="0" fontId="11" fillId="0" borderId="3" applyAlignment="1" pivotButton="0" quotePrefix="0" xfId="0">
      <alignment horizontal="left" vertical="center" wrapText="1"/>
    </xf>
    <xf numFmtId="0" fontId="13" fillId="0" borderId="3" applyAlignment="1" pivotButton="0" quotePrefix="0" xfId="0">
      <alignment horizontal="center" vertical="center"/>
    </xf>
    <xf numFmtId="165" fontId="13" fillId="0" borderId="3" applyAlignment="1" pivotButton="0" quotePrefix="0" xfId="0">
      <alignment horizontal="center" vertical="center" wrapText="1"/>
    </xf>
    <xf numFmtId="0" fontId="1" fillId="0" borderId="3" applyAlignment="1" pivotButton="0" quotePrefix="0" xfId="0">
      <alignment vertical="center" wrapText="1"/>
    </xf>
    <xf numFmtId="0" fontId="11" fillId="0" borderId="3" applyAlignment="1" pivotButton="0" quotePrefix="0" xfId="0">
      <alignment horizontal="left" vertical="center"/>
    </xf>
    <xf numFmtId="0" fontId="1" fillId="0" borderId="3" applyAlignment="1" pivotButton="0" quotePrefix="0" xfId="0">
      <alignment horizontal="left" vertical="center"/>
    </xf>
    <xf numFmtId="0" fontId="11" fillId="0" borderId="3" applyAlignment="1" pivotButton="0" quotePrefix="0" xfId="0">
      <alignment horizontal="left" vertical="center" wrapText="1"/>
    </xf>
    <xf numFmtId="0" fontId="1" fillId="0" borderId="3" pivotButton="0" quotePrefix="0" xfId="0"/>
    <xf numFmtId="0" fontId="1" fillId="0" borderId="3" applyAlignment="1" pivotButton="0" quotePrefix="0" xfId="0">
      <alignment vertical="center" wrapText="1"/>
    </xf>
    <xf numFmtId="0" fontId="11" fillId="0" borderId="3" applyAlignment="1" pivotButton="0" quotePrefix="0" xfId="0">
      <alignment vertical="center" wrapText="1"/>
    </xf>
    <xf numFmtId="0" fontId="14" fillId="0" borderId="3" applyAlignment="1" pivotButton="0" quotePrefix="0" xfId="0">
      <alignment horizontal="left" vertical="center" wrapText="1"/>
    </xf>
    <xf numFmtId="0" fontId="11" fillId="0" borderId="3" applyAlignment="1" pivotButton="0" quotePrefix="0" xfId="0">
      <alignment vertical="center" wrapText="1"/>
    </xf>
    <xf numFmtId="0" fontId="14" fillId="0" borderId="3" applyAlignment="1" pivotButton="0" quotePrefix="0" xfId="0">
      <alignment vertical="center" wrapText="1"/>
    </xf>
    <xf numFmtId="0" fontId="11" fillId="3" borderId="3" applyAlignment="1" pivotButton="0" quotePrefix="0" xfId="0">
      <alignment vertical="center" wrapText="1"/>
    </xf>
    <xf numFmtId="0" fontId="11" fillId="0" borderId="3" applyAlignment="1" pivotButton="0" quotePrefix="0" xfId="0">
      <alignment vertical="bottom"/>
    </xf>
    <xf numFmtId="0" fontId="11" fillId="5" borderId="3" applyAlignment="1" pivotButton="0" quotePrefix="0" xfId="0">
      <alignment vertical="center" wrapText="1"/>
    </xf>
    <xf numFmtId="0" fontId="1" fillId="3" borderId="3" applyAlignment="1" pivotButton="0" quotePrefix="0" xfId="0">
      <alignment vertical="center" wrapText="1"/>
    </xf>
    <xf numFmtId="0" fontId="1" fillId="0" borderId="3" applyAlignment="1" pivotButton="0" quotePrefix="0" xfId="0">
      <alignment vertical="center" wrapText="1"/>
    </xf>
    <xf numFmtId="0" fontId="11" fillId="0" borderId="3" applyAlignment="1" pivotButton="0" quotePrefix="0" xfId="0">
      <alignment horizontal="center" vertical="center"/>
    </xf>
    <xf numFmtId="0" fontId="12" fillId="0" borderId="3" applyAlignment="1" pivotButton="0" quotePrefix="0" xfId="0">
      <alignment horizontal="center" vertical="center"/>
    </xf>
    <xf numFmtId="0" fontId="11" fillId="0" borderId="3" applyAlignment="1" pivotButton="0" quotePrefix="0" xfId="0">
      <alignment vertical="top" wrapText="1"/>
    </xf>
    <xf numFmtId="0" fontId="11" fillId="0" borderId="3" applyAlignment="1" pivotButton="0" quotePrefix="0" xfId="0">
      <alignment wrapText="1"/>
    </xf>
    <xf numFmtId="14" fontId="11" fillId="0" borderId="3" applyAlignment="1" pivotButton="0" quotePrefix="0" xfId="0">
      <alignment wrapText="1"/>
    </xf>
    <xf numFmtId="0" fontId="11" fillId="0" borderId="3" applyAlignment="1" pivotButton="0" quotePrefix="0" xfId="0">
      <alignment vertical="bottom" wrapText="1"/>
    </xf>
    <xf numFmtId="0" fontId="15" fillId="2" borderId="3" applyAlignment="1" pivotButton="0" quotePrefix="0" xfId="0">
      <alignment horizontal="center" vertical="center" wrapText="1"/>
    </xf>
    <xf numFmtId="0" fontId="15" fillId="2" borderId="22" applyAlignment="1" pivotButton="0" quotePrefix="0" xfId="0">
      <alignment horizontal="center" vertical="center" wrapText="1"/>
    </xf>
    <xf numFmtId="0" fontId="16" fillId="0" borderId="3" applyAlignment="1" pivotButton="0" quotePrefix="0" xfId="0">
      <alignment horizontal="center" vertical="center"/>
    </xf>
    <xf numFmtId="0" fontId="11" fillId="3" borderId="3" applyAlignment="1" pivotButton="0" quotePrefix="0" xfId="0">
      <alignment horizontal="left" vertical="center" wrapText="1"/>
    </xf>
    <xf numFmtId="0" fontId="16" fillId="0" borderId="3" pivotButton="0" quotePrefix="0" xfId="0"/>
    <xf numFmtId="0" fontId="0" fillId="0" borderId="0" pivotButton="0" quotePrefix="0" xfId="0"/>
    <xf numFmtId="0" fontId="3" fillId="0" borderId="6" applyAlignment="1" pivotButton="0" quotePrefix="0" xfId="0">
      <alignment vertical="center" wrapText="1"/>
    </xf>
    <xf numFmtId="0" fontId="0" fillId="0" borderId="2" pivotButton="0" quotePrefix="0" xfId="0"/>
    <xf numFmtId="0" fontId="0" fillId="0" borderId="6" pivotButton="0" quotePrefix="0" xfId="0"/>
    <xf numFmtId="0" fontId="3" fillId="3" borderId="6" applyAlignment="1" pivotButton="0" quotePrefix="0" xfId="0">
      <alignment vertical="center" wrapText="1"/>
    </xf>
    <xf numFmtId="0" fontId="5" fillId="2" borderId="19" applyAlignment="1" pivotButton="0" quotePrefix="0" xfId="0">
      <alignment horizontal="center" vertical="center"/>
    </xf>
    <xf numFmtId="0" fontId="0" fillId="0" borderId="15" pivotButton="0" quotePrefix="0" xfId="0"/>
    <xf numFmtId="0" fontId="0" fillId="0" borderId="16" pivotButton="0" quotePrefix="0" xfId="0"/>
    <xf numFmtId="0" fontId="5" fillId="2" borderId="19" applyAlignment="1" pivotButton="0" quotePrefix="0" xfId="0">
      <alignment horizontal="center" wrapText="1"/>
    </xf>
    <xf numFmtId="0" fontId="17" fillId="0" borderId="0" applyAlignment="1" pivotButton="0" quotePrefix="0" xfId="0">
      <alignment vertical="top" wrapText="1"/>
    </xf>
    <xf numFmtId="0" fontId="18" fillId="6" borderId="25" applyAlignment="1" pivotButton="0" quotePrefix="0" xfId="0">
      <alignment horizontal="center" vertical="center" wrapText="1"/>
    </xf>
    <xf numFmtId="0" fontId="0" fillId="0" borderId="25"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996"/>
  <sheetViews>
    <sheetView showGridLines="0" workbookViewId="0">
      <selection activeCell="A1" sqref="A1"/>
    </sheetView>
  </sheetViews>
  <sheetFormatPr baseColWidth="8" defaultColWidth="12.63" defaultRowHeight="15.75" customHeight="1"/>
  <cols>
    <col width="5.88" customWidth="1" style="93" min="1" max="1"/>
    <col width="29.25" customWidth="1" style="93" min="3" max="3"/>
    <col width="81.75" customWidth="1" style="93" min="4" max="4"/>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9" t="n"/>
      <c r="B2" s="3" t="n"/>
      <c r="C2" s="3" t="n"/>
      <c r="D2" s="3" t="n"/>
      <c r="E2" s="19" t="n"/>
      <c r="F2" s="19" t="n"/>
      <c r="G2" s="19" t="n"/>
      <c r="H2" s="19" t="n"/>
      <c r="I2" s="19" t="n"/>
      <c r="J2" s="19" t="n"/>
      <c r="K2" s="19" t="n"/>
      <c r="L2" s="19" t="n"/>
      <c r="M2" s="19" t="n"/>
      <c r="N2" s="19" t="n"/>
      <c r="O2" s="19" t="n"/>
      <c r="P2" s="19" t="n"/>
      <c r="Q2" s="19" t="n"/>
      <c r="R2" s="19" t="n"/>
      <c r="S2" s="19" t="n"/>
      <c r="T2" s="19" t="n"/>
      <c r="U2" s="19" t="n"/>
      <c r="V2" s="19" t="n"/>
      <c r="W2" s="19" t="n"/>
      <c r="X2" s="19" t="n"/>
      <c r="Y2" s="19" t="n"/>
      <c r="Z2" s="19" t="n"/>
    </row>
    <row r="3" ht="21" customHeight="1" s="93">
      <c r="A3" s="4" t="n"/>
      <c r="B3" s="5" t="inlineStr">
        <is>
          <t>No</t>
        </is>
      </c>
      <c r="C3" s="6" t="inlineStr">
        <is>
          <t>Screen name</t>
        </is>
      </c>
      <c r="D3" s="6" t="inlineStr">
        <is>
          <t>Test view point</t>
        </is>
      </c>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row>
    <row r="4">
      <c r="A4" s="4" t="n"/>
      <c r="B4" s="7">
        <f>row()-3</f>
        <v/>
      </c>
      <c r="C4" s="94" t="n"/>
      <c r="D4" s="21" t="n"/>
      <c r="E4" s="19" t="n"/>
      <c r="F4" s="19" t="n"/>
      <c r="G4" s="19" t="n"/>
      <c r="H4" s="19" t="n"/>
      <c r="I4" s="19" t="n"/>
      <c r="J4" s="19" t="n"/>
      <c r="K4" s="19" t="n"/>
      <c r="L4" s="19" t="n"/>
      <c r="M4" s="19" t="n"/>
      <c r="N4" s="19" t="n"/>
      <c r="O4" s="19" t="n"/>
      <c r="P4" s="19" t="n"/>
      <c r="Q4" s="19" t="n"/>
      <c r="R4" s="19" t="n"/>
      <c r="S4" s="19" t="n"/>
      <c r="T4" s="19" t="n"/>
      <c r="U4" s="19" t="n"/>
      <c r="V4" s="19" t="n"/>
      <c r="W4" s="19" t="n"/>
      <c r="X4" s="19" t="n"/>
      <c r="Y4" s="19" t="n"/>
      <c r="Z4" s="19" t="n"/>
    </row>
    <row r="5">
      <c r="A5" s="4" t="n"/>
      <c r="B5" s="7">
        <f>row()-3</f>
        <v/>
      </c>
      <c r="C5" s="95" t="n"/>
      <c r="D5" s="21" t="n"/>
      <c r="E5" s="19" t="n"/>
      <c r="F5" s="19" t="n"/>
      <c r="G5" s="19" t="n"/>
      <c r="H5" s="19" t="n"/>
      <c r="I5" s="19" t="n"/>
      <c r="J5" s="19" t="n"/>
      <c r="K5" s="19" t="n"/>
      <c r="L5" s="19" t="n"/>
      <c r="M5" s="19" t="n"/>
      <c r="N5" s="19" t="n"/>
      <c r="O5" s="19" t="n"/>
      <c r="P5" s="19" t="n"/>
      <c r="Q5" s="19" t="n"/>
      <c r="R5" s="19" t="n"/>
      <c r="S5" s="19" t="n"/>
      <c r="T5" s="19" t="n"/>
      <c r="U5" s="19" t="n"/>
      <c r="V5" s="19" t="n"/>
      <c r="W5" s="19" t="n"/>
      <c r="X5" s="19" t="n"/>
      <c r="Y5" s="19" t="n"/>
      <c r="Z5" s="19" t="n"/>
    </row>
    <row r="6">
      <c r="A6" s="4" t="n"/>
      <c r="B6" s="7">
        <f>row()-3</f>
        <v/>
      </c>
      <c r="C6" s="95" t="n"/>
      <c r="D6" s="21"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row>
    <row r="7">
      <c r="A7" s="4" t="n"/>
      <c r="B7" s="7">
        <f>row()-3</f>
        <v/>
      </c>
      <c r="C7" s="95" t="n"/>
      <c r="D7" s="21" t="n"/>
      <c r="E7" s="19" t="n"/>
      <c r="F7" s="19" t="n"/>
      <c r="G7" s="19" t="n"/>
      <c r="H7" s="19" t="n"/>
      <c r="I7" s="19" t="n"/>
      <c r="J7" s="19" t="n"/>
      <c r="K7" s="19" t="n"/>
      <c r="L7" s="19" t="n"/>
      <c r="M7" s="19" t="n"/>
      <c r="N7" s="19" t="n"/>
      <c r="O7" s="19" t="n"/>
      <c r="P7" s="19" t="n"/>
      <c r="Q7" s="19" t="n"/>
      <c r="R7" s="19" t="n"/>
      <c r="S7" s="19" t="n"/>
      <c r="T7" s="19" t="n"/>
      <c r="U7" s="19" t="n"/>
      <c r="V7" s="19" t="n"/>
      <c r="W7" s="19" t="n"/>
      <c r="X7" s="19" t="n"/>
      <c r="Y7" s="19" t="n"/>
      <c r="Z7" s="19" t="n"/>
    </row>
    <row r="8">
      <c r="A8" s="4" t="n"/>
      <c r="B8" s="7">
        <f>row()-3</f>
        <v/>
      </c>
      <c r="C8" s="95" t="n"/>
      <c r="D8" s="21" t="n"/>
      <c r="E8" s="19" t="n"/>
      <c r="F8" s="19" t="n"/>
      <c r="G8" s="19" t="n"/>
      <c r="H8" s="19" t="n"/>
      <c r="I8" s="19" t="n"/>
      <c r="J8" s="19" t="n"/>
      <c r="K8" s="19" t="n"/>
      <c r="L8" s="19" t="n"/>
      <c r="M8" s="19" t="n"/>
      <c r="N8" s="19" t="n"/>
      <c r="O8" s="19" t="n"/>
      <c r="P8" s="19" t="n"/>
      <c r="Q8" s="19" t="n"/>
      <c r="R8" s="19" t="n"/>
      <c r="S8" s="19" t="n"/>
      <c r="T8" s="19" t="n"/>
      <c r="U8" s="19" t="n"/>
      <c r="V8" s="19" t="n"/>
      <c r="W8" s="19" t="n"/>
      <c r="X8" s="19" t="n"/>
      <c r="Y8" s="19" t="n"/>
      <c r="Z8" s="19" t="n"/>
    </row>
    <row r="9">
      <c r="A9" s="4" t="n"/>
      <c r="B9" s="7">
        <f>row()-3</f>
        <v/>
      </c>
      <c r="C9" s="95" t="n"/>
      <c r="D9" s="21" t="n"/>
      <c r="E9" s="19" t="n"/>
      <c r="F9" s="19" t="n"/>
      <c r="G9" s="19" t="n"/>
      <c r="H9" s="19" t="n"/>
      <c r="I9" s="19" t="n"/>
      <c r="J9" s="19" t="n"/>
      <c r="K9" s="19" t="n"/>
      <c r="L9" s="19" t="n"/>
      <c r="M9" s="19" t="n"/>
      <c r="N9" s="19" t="n"/>
      <c r="O9" s="19" t="n"/>
      <c r="P9" s="19" t="n"/>
      <c r="Q9" s="19" t="n"/>
      <c r="R9" s="19" t="n"/>
      <c r="S9" s="19" t="n"/>
      <c r="T9" s="19" t="n"/>
      <c r="U9" s="19" t="n"/>
      <c r="V9" s="19" t="n"/>
      <c r="W9" s="19" t="n"/>
      <c r="X9" s="19" t="n"/>
      <c r="Y9" s="19" t="n"/>
      <c r="Z9" s="19" t="n"/>
    </row>
    <row r="10">
      <c r="A10" s="4" t="n"/>
      <c r="B10" s="7">
        <f>row()-3</f>
        <v/>
      </c>
      <c r="C10" s="95" t="n"/>
      <c r="D10" s="21" t="n"/>
      <c r="E10" s="19" t="n"/>
      <c r="F10" s="19" t="n"/>
      <c r="G10" s="19" t="n"/>
      <c r="H10" s="19" t="n"/>
      <c r="I10" s="19" t="n"/>
      <c r="J10" s="19" t="n"/>
      <c r="K10" s="19" t="n"/>
      <c r="L10" s="19" t="n"/>
      <c r="M10" s="19" t="n"/>
      <c r="N10" s="19" t="n"/>
      <c r="O10" s="19" t="n"/>
      <c r="P10" s="19" t="n"/>
      <c r="Q10" s="19" t="n"/>
      <c r="R10" s="19" t="n"/>
      <c r="S10" s="19" t="n"/>
      <c r="T10" s="19" t="n"/>
      <c r="U10" s="19" t="n"/>
      <c r="V10" s="19" t="n"/>
      <c r="W10" s="19" t="n"/>
      <c r="X10" s="19" t="n"/>
      <c r="Y10" s="19" t="n"/>
      <c r="Z10" s="19" t="n"/>
    </row>
    <row r="11">
      <c r="A11" s="4" t="n"/>
      <c r="B11" s="7">
        <f>row()-3</f>
        <v/>
      </c>
      <c r="C11" s="95" t="n"/>
      <c r="D11" s="21" t="n"/>
      <c r="E11" s="19" t="n"/>
      <c r="F11" s="19" t="n"/>
      <c r="G11" s="19" t="n"/>
      <c r="H11" s="19" t="n"/>
      <c r="I11" s="19" t="n"/>
      <c r="J11" s="19" t="n"/>
      <c r="K11" s="19" t="n"/>
      <c r="L11" s="19" t="n"/>
      <c r="M11" s="19" t="n"/>
      <c r="N11" s="19" t="n"/>
      <c r="O11" s="19" t="n"/>
      <c r="P11" s="19" t="n"/>
      <c r="Q11" s="19" t="n"/>
      <c r="R11" s="19" t="n"/>
      <c r="S11" s="19" t="n"/>
      <c r="T11" s="19" t="n"/>
      <c r="U11" s="19" t="n"/>
      <c r="V11" s="19" t="n"/>
      <c r="W11" s="19" t="n"/>
      <c r="X11" s="19" t="n"/>
      <c r="Y11" s="19" t="n"/>
      <c r="Z11" s="19" t="n"/>
    </row>
    <row r="12">
      <c r="A12" s="4" t="n"/>
      <c r="B12" s="7">
        <f>row()-3</f>
        <v/>
      </c>
      <c r="C12" s="95" t="n"/>
      <c r="D12" s="13"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row>
    <row r="13">
      <c r="A13" s="4" t="n"/>
      <c r="B13" s="7">
        <f>row()-3</f>
        <v/>
      </c>
      <c r="C13" s="95" t="n"/>
      <c r="D13" s="13" t="n"/>
      <c r="E13" s="19" t="n"/>
      <c r="F13" s="19" t="n"/>
      <c r="G13" s="19" t="n"/>
      <c r="H13" s="19" t="n"/>
      <c r="I13" s="19" t="n"/>
      <c r="J13" s="19" t="n"/>
      <c r="K13" s="19" t="n"/>
      <c r="L13" s="19" t="n"/>
      <c r="M13" s="19" t="n"/>
      <c r="N13" s="19" t="n"/>
      <c r="O13" s="19" t="n"/>
      <c r="P13" s="19" t="n"/>
      <c r="Q13" s="19" t="n"/>
      <c r="R13" s="19" t="n"/>
      <c r="S13" s="19" t="n"/>
      <c r="T13" s="19" t="n"/>
      <c r="U13" s="19" t="n"/>
      <c r="V13" s="19" t="n"/>
      <c r="W13" s="19" t="n"/>
      <c r="X13" s="19" t="n"/>
      <c r="Y13" s="19" t="n"/>
      <c r="Z13" s="19" t="n"/>
    </row>
    <row r="14">
      <c r="A14" s="4" t="n"/>
      <c r="B14" s="7">
        <f>row()-3</f>
        <v/>
      </c>
      <c r="C14" s="95" t="n"/>
      <c r="D14" s="13" t="n"/>
      <c r="E14" s="19" t="n"/>
      <c r="F14" s="19" t="n"/>
      <c r="G14" s="19" t="n"/>
      <c r="H14" s="19" t="n"/>
      <c r="I14" s="19" t="n"/>
      <c r="J14" s="19" t="n"/>
      <c r="K14" s="19" t="n"/>
      <c r="L14" s="19" t="n"/>
      <c r="M14" s="19" t="n"/>
      <c r="N14" s="19" t="n"/>
      <c r="O14" s="19" t="n"/>
      <c r="P14" s="19" t="n"/>
      <c r="Q14" s="19" t="n"/>
      <c r="R14" s="19" t="n"/>
      <c r="S14" s="19" t="n"/>
      <c r="T14" s="19" t="n"/>
      <c r="U14" s="19" t="n"/>
      <c r="V14" s="19" t="n"/>
      <c r="W14" s="19" t="n"/>
      <c r="X14" s="19" t="n"/>
      <c r="Y14" s="19" t="n"/>
      <c r="Z14" s="19" t="n"/>
    </row>
    <row r="15">
      <c r="A15" s="4" t="n"/>
      <c r="B15" s="7">
        <f>row()-3</f>
        <v/>
      </c>
      <c r="C15" s="95" t="n"/>
      <c r="D15" s="13" t="n"/>
      <c r="E15" s="19" t="n"/>
      <c r="F15" s="19" t="n"/>
      <c r="G15" s="19" t="n"/>
      <c r="H15" s="19" t="n"/>
      <c r="I15" s="19" t="n"/>
      <c r="J15" s="19" t="n"/>
      <c r="K15" s="19" t="n"/>
      <c r="L15" s="19" t="n"/>
      <c r="M15" s="19" t="n"/>
      <c r="N15" s="19" t="n"/>
      <c r="O15" s="19" t="n"/>
      <c r="P15" s="19" t="n"/>
      <c r="Q15" s="19" t="n"/>
      <c r="R15" s="19" t="n"/>
      <c r="S15" s="19" t="n"/>
      <c r="T15" s="19" t="n"/>
      <c r="U15" s="19" t="n"/>
      <c r="V15" s="19" t="n"/>
      <c r="W15" s="19" t="n"/>
      <c r="X15" s="19" t="n"/>
      <c r="Y15" s="19" t="n"/>
      <c r="Z15" s="19" t="n"/>
    </row>
    <row r="16">
      <c r="A16" s="4" t="n"/>
      <c r="B16" s="7">
        <f>row()-3</f>
        <v/>
      </c>
      <c r="C16" s="95" t="n"/>
      <c r="D16" s="13" t="n"/>
      <c r="E16" s="19" t="n"/>
      <c r="F16" s="19" t="n"/>
      <c r="G16" s="19" t="n"/>
      <c r="H16" s="19" t="n"/>
      <c r="I16" s="19" t="n"/>
      <c r="J16" s="19" t="n"/>
      <c r="K16" s="19" t="n"/>
      <c r="L16" s="19" t="n"/>
      <c r="M16" s="19" t="n"/>
      <c r="N16" s="19" t="n"/>
      <c r="O16" s="19" t="n"/>
      <c r="P16" s="19" t="n"/>
      <c r="Q16" s="19" t="n"/>
      <c r="R16" s="19" t="n"/>
      <c r="S16" s="19" t="n"/>
      <c r="T16" s="19" t="n"/>
      <c r="U16" s="19" t="n"/>
      <c r="V16" s="19" t="n"/>
      <c r="W16" s="19" t="n"/>
      <c r="X16" s="19" t="n"/>
      <c r="Y16" s="19" t="n"/>
      <c r="Z16" s="19" t="n"/>
    </row>
    <row r="17">
      <c r="A17" s="4" t="n"/>
      <c r="B17" s="7">
        <f>row()-3</f>
        <v/>
      </c>
      <c r="C17" s="95" t="n"/>
      <c r="D17" s="13"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row>
    <row r="18">
      <c r="A18" s="4" t="n"/>
      <c r="B18" s="7">
        <f>row()-3</f>
        <v/>
      </c>
      <c r="C18" s="95" t="n"/>
      <c r="D18" s="13" t="n"/>
      <c r="E18" s="19" t="n"/>
      <c r="F18" s="19" t="n"/>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row>
    <row r="19">
      <c r="A19" s="4" t="n"/>
      <c r="B19" s="7">
        <f>row()-3</f>
        <v/>
      </c>
      <c r="C19" s="95" t="n"/>
      <c r="D19" s="13" t="n"/>
      <c r="E19" s="19" t="n"/>
      <c r="F19" s="19" t="n"/>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row>
    <row r="20">
      <c r="A20" s="4" t="n"/>
      <c r="B20" s="7">
        <f>row()-3</f>
        <v/>
      </c>
      <c r="C20" s="95" t="n"/>
      <c r="D20" s="13" t="n"/>
      <c r="E20" s="19" t="n"/>
      <c r="F20" s="19" t="n"/>
      <c r="G20" s="19" t="n"/>
      <c r="H20" s="19" t="n"/>
      <c r="I20" s="19" t="n"/>
      <c r="J20" s="19" t="n"/>
      <c r="K20" s="19" t="n"/>
      <c r="L20" s="19" t="n"/>
      <c r="M20" s="19" t="n"/>
      <c r="N20" s="19" t="n"/>
      <c r="O20" s="19" t="n"/>
      <c r="P20" s="19" t="n"/>
      <c r="Q20" s="19" t="n"/>
      <c r="R20" s="19" t="n"/>
      <c r="S20" s="19" t="n"/>
      <c r="T20" s="19" t="n"/>
      <c r="U20" s="19" t="n"/>
      <c r="V20" s="19" t="n"/>
      <c r="W20" s="19" t="n"/>
      <c r="X20" s="19" t="n"/>
      <c r="Y20" s="19" t="n"/>
      <c r="Z20" s="19" t="n"/>
    </row>
    <row r="21">
      <c r="A21" s="4" t="n"/>
      <c r="B21" s="7">
        <f>row()-3</f>
        <v/>
      </c>
      <c r="C21" s="95" t="n"/>
      <c r="D21" s="13" t="n"/>
      <c r="E21" s="19" t="n"/>
      <c r="F21" s="19" t="n"/>
      <c r="G21" s="19" t="n"/>
      <c r="H21" s="19" t="n"/>
      <c r="I21" s="19" t="n"/>
      <c r="J21" s="19" t="n"/>
      <c r="K21" s="19" t="n"/>
      <c r="L21" s="19" t="n"/>
      <c r="M21" s="19" t="n"/>
      <c r="N21" s="19" t="n"/>
      <c r="O21" s="19" t="n"/>
      <c r="P21" s="19" t="n"/>
      <c r="Q21" s="19" t="n"/>
      <c r="R21" s="19" t="n"/>
      <c r="S21" s="19" t="n"/>
      <c r="T21" s="19" t="n"/>
      <c r="U21" s="19" t="n"/>
      <c r="V21" s="19" t="n"/>
      <c r="W21" s="19" t="n"/>
      <c r="X21" s="19" t="n"/>
      <c r="Y21" s="19" t="n"/>
      <c r="Z21" s="19" t="n"/>
    </row>
    <row r="22">
      <c r="A22" s="4" t="n"/>
      <c r="B22" s="7">
        <f>row()-3</f>
        <v/>
      </c>
      <c r="C22" s="95" t="n"/>
      <c r="D22" s="13" t="n"/>
      <c r="E22" s="19" t="n"/>
      <c r="F22" s="19" t="n"/>
      <c r="G22" s="19" t="n"/>
      <c r="H22" s="19" t="n"/>
      <c r="I22" s="19" t="n"/>
      <c r="J22" s="19" t="n"/>
      <c r="K22" s="19" t="n"/>
      <c r="L22" s="19" t="n"/>
      <c r="M22" s="19" t="n"/>
      <c r="N22" s="19" t="n"/>
      <c r="O22" s="19" t="n"/>
      <c r="P22" s="19" t="n"/>
      <c r="Q22" s="19" t="n"/>
      <c r="R22" s="19" t="n"/>
      <c r="S22" s="19" t="n"/>
      <c r="T22" s="19" t="n"/>
      <c r="U22" s="19" t="n"/>
      <c r="V22" s="19" t="n"/>
      <c r="W22" s="19" t="n"/>
      <c r="X22" s="19" t="n"/>
      <c r="Y22" s="19" t="n"/>
      <c r="Z22" s="19" t="n"/>
    </row>
    <row r="23">
      <c r="A23" s="4" t="n"/>
      <c r="B23" s="7">
        <f>row()-3</f>
        <v/>
      </c>
      <c r="C23" s="95" t="n"/>
      <c r="D23" s="13" t="n"/>
      <c r="E23" s="19" t="n"/>
      <c r="F23" s="19" t="n"/>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row>
    <row r="24">
      <c r="A24" s="4" t="n"/>
      <c r="B24" s="7">
        <f>row()-3</f>
        <v/>
      </c>
      <c r="C24" s="95" t="n"/>
      <c r="D24" s="13" t="n"/>
      <c r="E24" s="19" t="n"/>
      <c r="F24" s="19" t="n"/>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row>
    <row r="25">
      <c r="A25" s="4" t="n"/>
      <c r="B25" s="7">
        <f>row()-3</f>
        <v/>
      </c>
      <c r="C25" s="95" t="n"/>
      <c r="D25" s="13" t="n"/>
      <c r="E25" s="19" t="n"/>
      <c r="F25" s="19" t="n"/>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row>
    <row r="26">
      <c r="A26" s="4" t="n"/>
      <c r="B26" s="14">
        <f>row()-3</f>
        <v/>
      </c>
      <c r="C26" s="96" t="n"/>
      <c r="D26" s="16" t="n"/>
      <c r="E26" s="19" t="n"/>
      <c r="F26" s="19" t="n"/>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row>
    <row r="27">
      <c r="A27" s="4" t="n"/>
      <c r="B27" s="17">
        <f>row()-3</f>
        <v/>
      </c>
      <c r="C27" s="94" t="n"/>
      <c r="D27" s="18"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row>
    <row r="28">
      <c r="A28" s="4" t="n"/>
      <c r="B28" s="7">
        <f>row()-3</f>
        <v/>
      </c>
      <c r="C28" s="95" t="n"/>
      <c r="D28" s="13" t="n"/>
      <c r="E28" s="20" t="n"/>
      <c r="F28" s="19"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row>
    <row r="29">
      <c r="A29" s="4" t="n"/>
      <c r="B29" s="7">
        <f>row()-3</f>
        <v/>
      </c>
      <c r="C29" s="95" t="n"/>
      <c r="D29" s="13"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row>
    <row r="30">
      <c r="A30" s="4" t="n"/>
      <c r="B30" s="7">
        <f>row()-3</f>
        <v/>
      </c>
      <c r="C30" s="95" t="n"/>
      <c r="D30" s="13" t="n"/>
      <c r="E30" s="19"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row>
    <row r="31">
      <c r="A31" s="4" t="n"/>
      <c r="B31" s="7">
        <f>row()-3</f>
        <v/>
      </c>
      <c r="C31" s="95" t="n"/>
      <c r="D31" s="13"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row>
    <row r="32">
      <c r="A32" s="4" t="n"/>
      <c r="B32" s="7">
        <f>row()-3</f>
        <v/>
      </c>
      <c r="C32" s="95" t="n"/>
      <c r="D32" s="13" t="n"/>
      <c r="E32" s="19"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row>
    <row r="33">
      <c r="A33" s="4" t="n"/>
      <c r="B33" s="7">
        <f>row()-3</f>
        <v/>
      </c>
      <c r="C33" s="95" t="n"/>
      <c r="D33" s="13" t="n"/>
      <c r="E33" s="19"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row>
    <row r="34">
      <c r="A34" s="4" t="n"/>
      <c r="B34" s="7">
        <f>row()-3</f>
        <v/>
      </c>
      <c r="C34" s="95" t="n"/>
      <c r="D34" s="13" t="n"/>
      <c r="E34" s="19" t="n"/>
      <c r="F34" s="19"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row>
    <row r="35">
      <c r="A35" s="4" t="n"/>
      <c r="B35" s="7">
        <f>row()-3</f>
        <v/>
      </c>
      <c r="C35" s="95" t="n"/>
      <c r="D35" s="13" t="n"/>
      <c r="E35" s="19" t="n"/>
      <c r="F35" s="19"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row>
    <row r="36">
      <c r="A36" s="4" t="n"/>
      <c r="B36" s="7">
        <f>row()-3</f>
        <v/>
      </c>
      <c r="C36" s="95" t="n"/>
      <c r="D36" s="13" t="n"/>
      <c r="E36" s="19" t="n"/>
      <c r="F36" s="19" t="n"/>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row>
    <row r="37">
      <c r="A37" s="4" t="n"/>
      <c r="B37" s="7">
        <f>row()-3</f>
        <v/>
      </c>
      <c r="C37" s="95" t="n"/>
      <c r="D37" s="21" t="n"/>
      <c r="E37" s="19" t="n"/>
      <c r="F37" s="19"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row>
    <row r="38">
      <c r="A38" s="4" t="n"/>
      <c r="B38" s="7">
        <f>row()-3</f>
        <v/>
      </c>
      <c r="C38" s="95" t="n"/>
      <c r="D38" s="21" t="n"/>
      <c r="E38" s="19" t="n"/>
      <c r="F38" s="19"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row>
    <row r="39">
      <c r="A39" s="4" t="n"/>
      <c r="B39" s="7">
        <f>row()-3</f>
        <v/>
      </c>
      <c r="C39" s="95" t="n"/>
      <c r="D39" s="21" t="n"/>
      <c r="E39" s="19"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row>
    <row r="40">
      <c r="A40" s="4" t="n"/>
      <c r="B40" s="7">
        <f>row()-3</f>
        <v/>
      </c>
      <c r="C40" s="95" t="n"/>
      <c r="D40" s="21" t="n"/>
      <c r="E40" s="19"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row>
    <row r="41">
      <c r="A41" s="4" t="n"/>
      <c r="B41" s="7">
        <f>row()-3</f>
        <v/>
      </c>
      <c r="C41" s="95" t="n"/>
      <c r="D41" s="21"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row>
    <row r="42">
      <c r="A42" s="4" t="n"/>
      <c r="B42" s="7">
        <f>row()-3</f>
        <v/>
      </c>
      <c r="C42" s="95" t="n"/>
      <c r="D42" s="21" t="n"/>
      <c r="E42" s="19"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row>
    <row r="43">
      <c r="A43" s="4" t="n"/>
      <c r="B43" s="14">
        <f>row()-3</f>
        <v/>
      </c>
      <c r="C43" s="96" t="n"/>
      <c r="D43" s="26"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row>
    <row r="44">
      <c r="A44" s="4" t="n"/>
      <c r="B44" s="17">
        <f>row()-3</f>
        <v/>
      </c>
      <c r="C44" s="97" t="n"/>
      <c r="D44" s="28" t="n"/>
      <c r="E44" s="19"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row>
    <row r="45">
      <c r="A45" s="4" t="n"/>
      <c r="B45" s="7">
        <f>row()-3</f>
        <v/>
      </c>
      <c r="C45" s="95" t="n"/>
      <c r="D45" s="25"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row>
    <row r="46">
      <c r="A46" s="4" t="n"/>
      <c r="B46" s="7">
        <f>row()-3</f>
        <v/>
      </c>
      <c r="C46" s="95" t="n"/>
      <c r="D46" s="25" t="n"/>
      <c r="E46" s="19"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row>
    <row r="47">
      <c r="A47" s="4" t="n"/>
      <c r="B47" s="7">
        <f>row()-3</f>
        <v/>
      </c>
      <c r="C47" s="95" t="n"/>
      <c r="D47" s="25"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row>
    <row r="48">
      <c r="A48" s="4" t="n"/>
      <c r="B48" s="14">
        <f>row()-3</f>
        <v/>
      </c>
      <c r="C48" s="96" t="n"/>
      <c r="D48" s="21"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row>
    <row r="49">
      <c r="A49" s="19" t="n"/>
      <c r="B49" s="17">
        <f>row()-3</f>
        <v/>
      </c>
      <c r="C49" s="94" t="n"/>
      <c r="D49" s="28"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row>
    <row r="50">
      <c r="A50" s="19" t="n"/>
      <c r="B50" s="7">
        <f>row()-3</f>
        <v/>
      </c>
      <c r="C50" s="95" t="n"/>
      <c r="D50" s="13"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row>
    <row r="51">
      <c r="A51" s="19" t="n"/>
      <c r="B51" s="14">
        <f>row()-3</f>
        <v/>
      </c>
      <c r="C51" s="96" t="n"/>
      <c r="D51" s="13"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row>
    <row r="52">
      <c r="A52" s="4" t="n"/>
      <c r="B52" s="17">
        <f>row()-3</f>
        <v/>
      </c>
      <c r="C52" s="94" t="n"/>
      <c r="D52" s="28"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row>
    <row r="53">
      <c r="A53" s="4" t="n"/>
      <c r="B53" s="7">
        <f>row()-3</f>
        <v/>
      </c>
      <c r="C53" s="95" t="n"/>
      <c r="D53" s="25"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row>
    <row r="54">
      <c r="A54" s="4" t="n"/>
      <c r="B54" s="7">
        <f>row()-3</f>
        <v/>
      </c>
      <c r="C54" s="95" t="n"/>
      <c r="D54" s="21"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row>
    <row r="55">
      <c r="A55" s="4" t="n"/>
      <c r="B55" s="7">
        <f>row()-3</f>
        <v/>
      </c>
      <c r="C55" s="95" t="n"/>
      <c r="D55" s="21"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row>
    <row r="56">
      <c r="A56" s="4" t="n"/>
      <c r="B56" s="7">
        <f>row()-3</f>
        <v/>
      </c>
      <c r="C56" s="95" t="n"/>
      <c r="D56" s="25"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row>
    <row r="57">
      <c r="A57" s="4" t="n"/>
      <c r="B57" s="7">
        <f>row()-3</f>
        <v/>
      </c>
      <c r="C57" s="95" t="n"/>
      <c r="D57" s="25"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row>
    <row r="58">
      <c r="A58" s="4" t="n"/>
      <c r="B58" s="14">
        <f>row()-3</f>
        <v/>
      </c>
      <c r="C58" s="96" t="n"/>
      <c r="D58" s="26"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row>
    <row r="59">
      <c r="A59" s="4" t="n"/>
      <c r="B59" s="17">
        <f>row()-3</f>
        <v/>
      </c>
      <c r="C59" s="94" t="n"/>
      <c r="D59" s="28"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row>
    <row r="60">
      <c r="A60" s="4" t="n"/>
      <c r="B60" s="7">
        <f>row()-3</f>
        <v/>
      </c>
      <c r="C60" s="95" t="n"/>
      <c r="D60" s="21"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row>
    <row r="61">
      <c r="A61" s="4" t="n"/>
      <c r="B61" s="7">
        <f>row()-3</f>
        <v/>
      </c>
      <c r="C61" s="95" t="n"/>
      <c r="D61" s="32"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row>
    <row r="62">
      <c r="A62" s="4" t="n"/>
      <c r="B62" s="30">
        <f>row()-3</f>
        <v/>
      </c>
      <c r="C62" s="96" t="n"/>
      <c r="D62" s="33"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row>
    <row r="63">
      <c r="A63" s="4" t="n"/>
      <c r="B63" s="7">
        <f>row()-3</f>
        <v/>
      </c>
      <c r="C63" s="94" t="n"/>
      <c r="D63" s="28"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row>
    <row r="64">
      <c r="A64" s="4" t="n"/>
      <c r="B64" s="7">
        <f>row()-3</f>
        <v/>
      </c>
      <c r="C64" s="95" t="n"/>
      <c r="D64" s="21"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row>
    <row r="65">
      <c r="A65" s="4" t="n"/>
      <c r="B65" s="7">
        <f>row()-3</f>
        <v/>
      </c>
      <c r="C65" s="95" t="n"/>
      <c r="D65" s="32"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row>
    <row r="66">
      <c r="A66" s="4" t="n"/>
      <c r="B66" s="14">
        <f>row()-3</f>
        <v/>
      </c>
      <c r="C66" s="96" t="n"/>
      <c r="D66" s="33"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row>
    <row r="67">
      <c r="A67" s="4" t="n"/>
      <c r="B67" s="17">
        <f>row()-3</f>
        <v/>
      </c>
      <c r="C67" s="94" t="n"/>
      <c r="D67" s="28"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row>
    <row r="68">
      <c r="A68" s="4" t="n"/>
      <c r="B68" s="7">
        <f>row()-3</f>
        <v/>
      </c>
      <c r="C68" s="95" t="n"/>
      <c r="D68" s="21"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row>
    <row r="69">
      <c r="A69" s="4" t="n"/>
      <c r="B69" s="7">
        <f>row()-3</f>
        <v/>
      </c>
      <c r="C69" s="95" t="n"/>
      <c r="D69" s="13"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row>
    <row r="70">
      <c r="A70" s="4" t="n"/>
      <c r="B70" s="7">
        <f>row()-3</f>
        <v/>
      </c>
      <c r="C70" s="95" t="n"/>
      <c r="D70" s="21"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row>
    <row r="71">
      <c r="A71" s="4" t="n"/>
      <c r="B71" s="14">
        <f>row()-3</f>
        <v/>
      </c>
      <c r="C71" s="96" t="n"/>
      <c r="D71" s="26"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row>
    <row r="72">
      <c r="A72" s="4" t="n"/>
      <c r="B72" s="17">
        <f>row()-3</f>
        <v/>
      </c>
      <c r="C72" s="94" t="n"/>
      <c r="D72" s="28"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row>
    <row r="73">
      <c r="A73" s="4" t="n"/>
      <c r="B73" s="7">
        <f>row()-3</f>
        <v/>
      </c>
      <c r="C73" s="95" t="n"/>
      <c r="D73" s="21"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row>
    <row r="74">
      <c r="A74" s="4" t="n"/>
      <c r="B74" s="7">
        <f>row()-3</f>
        <v/>
      </c>
      <c r="C74" s="95" t="n"/>
      <c r="D74" s="13"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row>
    <row r="75">
      <c r="A75" s="4" t="n"/>
      <c r="B75" s="7">
        <f>row()-3</f>
        <v/>
      </c>
      <c r="C75" s="95" t="n"/>
      <c r="D75" s="13"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row>
    <row r="76">
      <c r="A76" s="4" t="n"/>
      <c r="B76" s="7">
        <f>row()-3</f>
        <v/>
      </c>
      <c r="C76" s="95" t="n"/>
      <c r="D76" s="21"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row>
    <row r="77">
      <c r="A77" s="4" t="n"/>
      <c r="B77" s="7">
        <f>row()-3</f>
        <v/>
      </c>
      <c r="C77" s="95" t="n"/>
      <c r="D77" s="21"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row>
    <row r="78">
      <c r="A78" s="4" t="n"/>
      <c r="B78" s="7">
        <f>row()-3</f>
        <v/>
      </c>
      <c r="C78" s="95" t="n"/>
      <c r="D78" s="21"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row>
    <row r="79">
      <c r="A79" s="4" t="n"/>
      <c r="B79" s="7">
        <f>row()-3</f>
        <v/>
      </c>
      <c r="C79" s="95" t="n"/>
      <c r="D79" s="21"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row>
    <row r="80">
      <c r="A80" s="4" t="n"/>
      <c r="B80" s="7">
        <f>row()-3</f>
        <v/>
      </c>
      <c r="C80" s="95" t="n"/>
      <c r="D80" s="21"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row>
    <row r="81">
      <c r="A81" s="4" t="n"/>
      <c r="B81" s="7">
        <f>row()-3</f>
        <v/>
      </c>
      <c r="C81" s="95" t="n"/>
      <c r="D81" s="21"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row>
    <row r="82">
      <c r="A82" s="4" t="n"/>
      <c r="B82" s="7">
        <f>row()-3</f>
        <v/>
      </c>
      <c r="C82" s="95" t="n"/>
      <c r="D82" s="21"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row>
    <row r="83">
      <c r="A83" s="4" t="n"/>
      <c r="B83" s="7">
        <f>row()-3</f>
        <v/>
      </c>
      <c r="C83" s="95" t="n"/>
      <c r="D83" s="21"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row>
    <row r="84">
      <c r="A84" s="4" t="n"/>
      <c r="B84" s="7">
        <f>row()-3</f>
        <v/>
      </c>
      <c r="C84" s="95" t="n"/>
      <c r="D84" s="21"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row>
    <row r="85">
      <c r="A85" s="4" t="n"/>
      <c r="B85" s="7">
        <f>row()-3</f>
        <v/>
      </c>
      <c r="C85" s="95" t="n"/>
      <c r="D85" s="21"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row>
    <row r="86">
      <c r="A86" s="19" t="n"/>
      <c r="B86" s="7">
        <f>row()-3</f>
        <v/>
      </c>
      <c r="C86" s="95" t="n"/>
      <c r="D86" s="21"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row>
    <row r="87">
      <c r="A87" s="19" t="n"/>
      <c r="B87" s="7">
        <f>row()-3</f>
        <v/>
      </c>
      <c r="C87" s="95" t="n"/>
      <c r="D87" s="21"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row>
    <row r="88">
      <c r="A88" s="19" t="n"/>
      <c r="B88" s="7">
        <f>row()-3</f>
        <v/>
      </c>
      <c r="C88" s="95" t="n"/>
      <c r="D88" s="21"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row>
    <row r="89">
      <c r="A89" s="19" t="n"/>
      <c r="B89" s="7">
        <f>row()-3</f>
        <v/>
      </c>
      <c r="C89" s="95" t="n"/>
      <c r="D89" s="21"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row>
    <row r="90">
      <c r="A90" s="19" t="n"/>
      <c r="B90" s="7">
        <f>row()-3</f>
        <v/>
      </c>
      <c r="C90" s="95" t="n"/>
      <c r="D90" s="13"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row>
    <row r="91">
      <c r="A91" s="19" t="n"/>
      <c r="B91" s="7">
        <f>row()-3</f>
        <v/>
      </c>
      <c r="C91" s="96" t="n"/>
      <c r="D91" s="13"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row>
    <row r="92">
      <c r="A92" s="19" t="n"/>
      <c r="B92" s="17">
        <f>row()-3</f>
        <v/>
      </c>
      <c r="C92" s="94" t="n"/>
      <c r="D92" s="34"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row>
    <row r="93">
      <c r="A93" s="19" t="n"/>
      <c r="B93" s="7">
        <f>row()-3</f>
        <v/>
      </c>
      <c r="C93" s="95" t="n"/>
      <c r="D93" s="13"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row>
    <row r="94">
      <c r="A94" s="19" t="n"/>
      <c r="B94" s="7">
        <f>row()-3</f>
        <v/>
      </c>
      <c r="C94" s="95" t="n"/>
      <c r="D94" s="13"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row>
    <row r="95">
      <c r="A95" s="19" t="n"/>
      <c r="B95" s="7">
        <f>row()-3</f>
        <v/>
      </c>
      <c r="C95" s="95" t="n"/>
      <c r="D95" s="13"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row>
    <row r="96">
      <c r="A96" s="19" t="n"/>
      <c r="B96" s="7">
        <f>row()-3</f>
        <v/>
      </c>
      <c r="C96" s="95" t="n"/>
      <c r="D96" s="13"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row>
    <row r="97">
      <c r="A97" s="19" t="n"/>
      <c r="B97" s="7">
        <f>row()-3</f>
        <v/>
      </c>
      <c r="C97" s="95" t="n"/>
      <c r="D97" s="13"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row>
    <row r="98">
      <c r="A98" s="19" t="n"/>
      <c r="B98" s="14">
        <f>row()-3</f>
        <v/>
      </c>
      <c r="C98" s="96" t="n"/>
      <c r="D98" s="35"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row>
    <row r="99">
      <c r="A99" s="19" t="n"/>
      <c r="B99" s="17">
        <f>row()-3</f>
        <v/>
      </c>
      <c r="C99" s="94" t="n"/>
      <c r="D99" s="28"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row>
    <row r="100">
      <c r="A100" s="19" t="n"/>
      <c r="B100" s="7">
        <f>row()-3</f>
        <v/>
      </c>
      <c r="C100" s="95" t="n"/>
      <c r="D100" s="21"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c r="A101" s="19" t="n"/>
      <c r="B101" s="7">
        <f>row()-3</f>
        <v/>
      </c>
      <c r="C101" s="95" t="n"/>
      <c r="D101" s="21"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c r="A102" s="19" t="n"/>
      <c r="B102" s="7">
        <f>row()-3</f>
        <v/>
      </c>
      <c r="C102" s="95" t="n"/>
      <c r="D102" s="21"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c r="A103" s="19" t="n"/>
      <c r="B103" s="7">
        <f>row()-3</f>
        <v/>
      </c>
      <c r="C103" s="95" t="n"/>
      <c r="D103" s="21"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c r="A104" s="19" t="n"/>
      <c r="B104" s="7">
        <f>row()-3</f>
        <v/>
      </c>
      <c r="C104" s="95" t="n"/>
      <c r="D104" s="21"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c r="A105" s="19" t="n"/>
      <c r="B105" s="7">
        <f>row()-3</f>
        <v/>
      </c>
      <c r="C105" s="95" t="n"/>
      <c r="D105" s="21"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c r="A106" s="19" t="n"/>
      <c r="B106" s="7">
        <f>row()-3</f>
        <v/>
      </c>
      <c r="C106" s="95" t="n"/>
      <c r="D106" s="21"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c r="A107" s="19" t="n"/>
      <c r="B107" s="7">
        <f>row()-3</f>
        <v/>
      </c>
      <c r="C107" s="95" t="n"/>
      <c r="D107" s="21"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c r="A108" s="19" t="n"/>
      <c r="B108" s="7">
        <f>row()-3</f>
        <v/>
      </c>
      <c r="C108" s="95" t="n"/>
      <c r="D108" s="21"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c r="A109" s="19" t="n"/>
      <c r="B109" s="14">
        <f>row()-3</f>
        <v/>
      </c>
      <c r="C109" s="96" t="n"/>
      <c r="D109" s="26"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c r="A110" s="19" t="n"/>
      <c r="B110" s="17">
        <f>row()-3</f>
        <v/>
      </c>
      <c r="C110" s="94" t="n"/>
      <c r="D110" s="28"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c r="A111" s="19" t="n"/>
      <c r="B111" s="7">
        <f>row()-3</f>
        <v/>
      </c>
      <c r="C111" s="95" t="n"/>
      <c r="D111" s="21"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c r="A112" s="19" t="n"/>
      <c r="B112" s="14">
        <f>row()-3</f>
        <v/>
      </c>
      <c r="C112" s="96" t="n"/>
      <c r="D112" s="26"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c r="A113" s="19" t="n"/>
      <c r="B113" s="17">
        <f>row()-3</f>
        <v/>
      </c>
      <c r="C113" s="94" t="n"/>
      <c r="D113" s="28"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c r="A114" s="19" t="n"/>
      <c r="B114" s="7">
        <f>row()-3</f>
        <v/>
      </c>
      <c r="C114" s="95" t="n"/>
      <c r="D114" s="26"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c r="A115" s="19" t="n"/>
      <c r="B115" s="7">
        <f>row()-3</f>
        <v/>
      </c>
      <c r="C115" s="95" t="n"/>
      <c r="D115" s="25"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c r="A116" s="19" t="n"/>
      <c r="B116" s="14">
        <f>row()-3</f>
        <v/>
      </c>
      <c r="C116" s="96" t="n"/>
      <c r="D116" s="36"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c r="A117" s="19" t="n"/>
      <c r="B117" s="37">
        <f>row()-3</f>
        <v/>
      </c>
      <c r="C117" s="27" t="n"/>
      <c r="D117" s="38"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c r="A118" s="19" t="n"/>
      <c r="B118" s="7">
        <f>row()-3</f>
        <v/>
      </c>
      <c r="C118" s="39" t="n"/>
      <c r="D118" s="28"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sheetData>
  <mergeCells count="13">
    <mergeCell ref="C110:C112"/>
    <mergeCell ref="C44:C48"/>
    <mergeCell ref="C4:C26"/>
    <mergeCell ref="C113:C116"/>
    <mergeCell ref="C99:C109"/>
    <mergeCell ref="C52:C58"/>
    <mergeCell ref="C59:C62"/>
    <mergeCell ref="C72:C91"/>
    <mergeCell ref="C27:C43"/>
    <mergeCell ref="C67:C71"/>
    <mergeCell ref="C49:C51"/>
    <mergeCell ref="C92:C98"/>
    <mergeCell ref="C63:C66"/>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B1:I992"/>
  <sheetViews>
    <sheetView showGridLines="0" workbookViewId="0">
      <selection activeCell="A1" sqref="A1"/>
    </sheetView>
  </sheetViews>
  <sheetFormatPr baseColWidth="8" defaultColWidth="12.63" defaultRowHeight="15.75" customHeight="1"/>
  <cols>
    <col width="6.38" customWidth="1" style="93" min="2" max="2"/>
    <col width="48" customWidth="1" style="93" min="3" max="3"/>
    <col width="12.38" customWidth="1" style="93" min="4" max="4"/>
    <col width="10.13" customWidth="1" style="93" min="5" max="5"/>
    <col width="10" customWidth="1" style="93" min="6" max="6"/>
    <col width="11" customWidth="1" style="93" min="7" max="7"/>
    <col width="10.75" customWidth="1" style="93" min="8" max="8"/>
    <col width="11.88" customWidth="1" style="93" min="9" max="9"/>
  </cols>
  <sheetData>
    <row r="1">
      <c r="B1" s="40" t="n"/>
      <c r="C1" s="40" t="n"/>
    </row>
    <row r="2" ht="35.25" customHeight="1" s="93">
      <c r="B2" s="40" t="n"/>
      <c r="C2" s="40" t="n"/>
      <c r="E2" s="98" t="inlineStr">
        <is>
          <t>Result 1</t>
        </is>
      </c>
      <c r="F2" s="99" t="n"/>
      <c r="G2" s="100" t="n"/>
      <c r="H2" s="101" t="inlineStr">
        <is>
          <t>Result 2 (NG--&gt;OK, Pending--&gt;OK)</t>
        </is>
      </c>
      <c r="I2" s="100" t="n"/>
    </row>
    <row r="3">
      <c r="B3" s="45" t="inlineStr">
        <is>
          <t>No</t>
        </is>
      </c>
      <c r="C3" s="45" t="inlineStr">
        <is>
          <t>Screen name</t>
        </is>
      </c>
      <c r="D3" s="46" t="inlineStr">
        <is>
          <t>TCs plan</t>
        </is>
      </c>
      <c r="E3" s="47" t="inlineStr">
        <is>
          <t>OK</t>
        </is>
      </c>
      <c r="F3" s="47" t="inlineStr">
        <is>
          <t>NG</t>
        </is>
      </c>
      <c r="G3" s="47" t="inlineStr">
        <is>
          <t>Pending</t>
        </is>
      </c>
      <c r="H3" s="47" t="inlineStr">
        <is>
          <t>OK</t>
        </is>
      </c>
      <c r="I3" s="47" t="inlineStr">
        <is>
          <t>% Fixed</t>
        </is>
      </c>
    </row>
    <row r="4">
      <c r="B4" s="48" t="n">
        <v>1</v>
      </c>
      <c r="C4" s="49" t="inlineStr">
        <is>
          <t>Agency List &amp; Registration</t>
        </is>
      </c>
      <c r="D4" s="50">
        <f>if($C4="","-", COUNTA(indirect("'"&amp;$C4&amp;"'!G2:G1000")))</f>
        <v/>
      </c>
      <c r="E4" s="51">
        <f>if($C4="","-", countif(indirect("'"&amp;$C4&amp;"'!M2:M1000"),E$3))</f>
        <v/>
      </c>
      <c r="F4" s="51">
        <f>if($C4="","-", countif(indirect("'"&amp;$C4&amp;"'!M2:M1000"),F$3))</f>
        <v/>
      </c>
      <c r="G4" s="51">
        <f>if($C4="","-", countif(indirect("'"&amp;$C4&amp;"'!M2:M1000"),G$3))</f>
        <v/>
      </c>
      <c r="H4" s="51">
        <f>if($C4="","-", countif(indirect("'"&amp;$C4&amp;"'!Q2:Q1000"),H$3))</f>
        <v/>
      </c>
      <c r="I4" s="52">
        <f>iferror(H4/(F4+G4),"-")</f>
        <v/>
      </c>
    </row>
    <row r="5">
      <c r="B5" s="50" t="n">
        <v>2</v>
      </c>
      <c r="C5" s="50" t="inlineStr">
        <is>
          <t>Agency Detail 5 Tabs</t>
        </is>
      </c>
      <c r="D5" s="50">
        <f>if($C5="","-", COUNTA(indirect("'"&amp;$C5&amp;"'!G2:G1000")))</f>
        <v/>
      </c>
      <c r="E5" s="51">
        <f>if($C5="","-", countif(indirect("'"&amp;$C5&amp;"'!M2:M1000"),E$3))</f>
        <v/>
      </c>
      <c r="F5" s="51">
        <f>if($C5="","-", countif(indirect("'"&amp;$C5&amp;"'!M2:M1000"),F$3))</f>
        <v/>
      </c>
      <c r="G5" s="51">
        <f>if($C5="","-", countif(indirect("'"&amp;$C5&amp;"'!M2:M1000"),G$3))</f>
        <v/>
      </c>
      <c r="H5" s="51">
        <f>if($C5="","-", countif(indirect("'"&amp;$C5&amp;"'!Q2:Q1000"),H$3))</f>
        <v/>
      </c>
      <c r="I5" s="52">
        <f>iferror(H5/(F5+G5),"-")</f>
        <v/>
      </c>
    </row>
    <row r="6">
      <c r="B6" s="48" t="n">
        <v>3</v>
      </c>
      <c r="C6" s="53" t="inlineStr">
        <is>
          <t>Referral Management</t>
        </is>
      </c>
      <c r="D6" s="50">
        <f>if($C6="","-", COUNTA(indirect("'"&amp;$C6&amp;"'!G2:G1000")))</f>
        <v/>
      </c>
      <c r="E6" s="51">
        <f>if($C6="","-", countif(indirect("'"&amp;$C6&amp;"'!M2:M1000"),E$3))</f>
        <v/>
      </c>
      <c r="F6" s="51">
        <f>if($C6="","-", countif(indirect("'"&amp;$C6&amp;"'!M2:M1000"),F$3))</f>
        <v/>
      </c>
      <c r="G6" s="51">
        <f>if($C6="","-", countif(indirect("'"&amp;$C6&amp;"'!M2:M1000"),G$3))</f>
        <v/>
      </c>
      <c r="H6" s="51">
        <f>if($C6="","-", countif(indirect("'"&amp;$C6&amp;"'!Q2:Q1000"),H$3))</f>
        <v/>
      </c>
      <c r="I6" s="52">
        <f>iferror(H6/(F6+G6),"-")</f>
        <v/>
      </c>
    </row>
    <row r="7">
      <c r="B7" s="50" t="n">
        <v>4</v>
      </c>
      <c r="C7" s="50" t="inlineStr">
        <is>
          <t>Sales &amp; Fee Payment</t>
        </is>
      </c>
      <c r="D7" s="50">
        <f>if($C7="","-", COUNTA(indirect("'"&amp;$C7&amp;"'!G2:G1000")))</f>
        <v/>
      </c>
      <c r="E7" s="51">
        <f>if($C7="","-", countif(indirect("'"&amp;$C7&amp;"'!M2:M1000"),E$3))</f>
        <v/>
      </c>
      <c r="F7" s="51">
        <f>if($C7="","-", countif(indirect("'"&amp;$C7&amp;"'!M2:M1000"),F$3))</f>
        <v/>
      </c>
      <c r="G7" s="51">
        <f>if($C7="","-", countif(indirect("'"&amp;$C7&amp;"'!M2:M1000"),G$3))</f>
        <v/>
      </c>
      <c r="H7" s="51">
        <f>if($C7="","-", countif(indirect("'"&amp;$C7&amp;"'!Q2:Q1000"),H$3))</f>
        <v/>
      </c>
      <c r="I7" s="52">
        <f>iferror(H7/(F7+G7),"-")</f>
        <v/>
      </c>
    </row>
    <row r="8">
      <c r="B8" s="48" t="n">
        <v>5</v>
      </c>
      <c r="C8" s="53" t="inlineStr">
        <is>
          <t>Referral Dashboard</t>
        </is>
      </c>
      <c r="D8" s="50">
        <f>if($C8="","-", COUNTA(indirect("'"&amp;$C8&amp;"'!G2:G1000")))</f>
        <v/>
      </c>
      <c r="E8" s="51">
        <f>if($C8="","-", countif(indirect("'"&amp;$C8&amp;"'!M2:M1000"),E$3))</f>
        <v/>
      </c>
      <c r="F8" s="51">
        <f>if($C8="","-", countif(indirect("'"&amp;$C8&amp;"'!M2:M1000"),F$3))</f>
        <v/>
      </c>
      <c r="G8" s="51">
        <f>if($C8="","-", countif(indirect("'"&amp;$C8&amp;"'!M2:M1000"),G$3))</f>
        <v/>
      </c>
      <c r="H8" s="51">
        <f>if($C8="","-", countif(indirect("'"&amp;$C8&amp;"'!Q2:Q1000"),H$3))</f>
        <v/>
      </c>
      <c r="I8" s="52">
        <f>iferror(H8/(F8+G8),"-")</f>
        <v/>
      </c>
    </row>
    <row r="9">
      <c r="B9" s="50" t="n">
        <v>6</v>
      </c>
      <c r="C9" s="50" t="n"/>
      <c r="D9" s="50">
        <f>if($C9="","-", COUNTA(indirect("'"&amp;$C9&amp;"'!G2:G1000")))</f>
        <v/>
      </c>
      <c r="E9" s="51">
        <f>if($C9="","-", countif(indirect("'"&amp;$C9&amp;"'!M2:M1000"),E$3))</f>
        <v/>
      </c>
      <c r="F9" s="51">
        <f>if($C9="","-", countif(indirect("'"&amp;$C9&amp;"'!M2:M1000"),F$3))</f>
        <v/>
      </c>
      <c r="G9" s="51">
        <f>if($C9="","-", countif(indirect("'"&amp;$C9&amp;"'!M2:M1000"),G$3))</f>
        <v/>
      </c>
      <c r="H9" s="51">
        <f>if($C9="","-", countif(indirect("'"&amp;$C9&amp;"'!Q2:Q1000"),H$3))</f>
        <v/>
      </c>
      <c r="I9" s="52">
        <f>iferror(H9/(F9+G9),"-")</f>
        <v/>
      </c>
    </row>
    <row r="10">
      <c r="B10" s="48" t="n">
        <v>7</v>
      </c>
      <c r="C10" s="50" t="n"/>
      <c r="D10" s="50">
        <f>if($C10="","-", COUNTA(indirect("'"&amp;$C10&amp;"'!G2:G1000")))</f>
        <v/>
      </c>
      <c r="E10" s="51">
        <f>if($C10="","-", countif(indirect("'"&amp;$C10&amp;"'!M2:M1000"),E$3))</f>
        <v/>
      </c>
      <c r="F10" s="51">
        <f>if($C10="","-", countif(indirect("'"&amp;$C10&amp;"'!M2:M1000"),F$3))</f>
        <v/>
      </c>
      <c r="G10" s="51">
        <f>if($C10="","-", countif(indirect("'"&amp;$C10&amp;"'!M2:M1000"),G$3))</f>
        <v/>
      </c>
      <c r="H10" s="51">
        <f>if($C10="","-", countif(indirect("'"&amp;$C10&amp;"'!Q2:Q1000"),H$3))</f>
        <v/>
      </c>
      <c r="I10" s="52">
        <f>iferror(H10/(F10+G10),"-")</f>
        <v/>
      </c>
    </row>
    <row r="11">
      <c r="B11" s="50" t="n">
        <v>8</v>
      </c>
      <c r="C11" s="54" t="n"/>
      <c r="D11" s="50">
        <f>if($C11="","-", COUNTA(indirect("'"&amp;$C11&amp;"'!G2:G1000")))</f>
        <v/>
      </c>
      <c r="E11" s="51">
        <f>if($C11="","-", countif(indirect("'"&amp;$C11&amp;"'!M2:M1000"),E$3))</f>
        <v/>
      </c>
      <c r="F11" s="51">
        <f>if($C11="","-", countif(indirect("'"&amp;$C11&amp;"'!M2:M1000"),F$3))</f>
        <v/>
      </c>
      <c r="G11" s="51">
        <f>if($C11="","-", countif(indirect("'"&amp;$C11&amp;"'!M2:M1000"),G$3))</f>
        <v/>
      </c>
      <c r="H11" s="51">
        <f>if($C11="","-", countif(indirect("'"&amp;$C11&amp;"'!Q2:Q1000"),H$3))</f>
        <v/>
      </c>
      <c r="I11" s="52">
        <f>iferror(H11/(F11+G11),"-")</f>
        <v/>
      </c>
    </row>
    <row r="12">
      <c r="B12" s="48" t="n">
        <v>9</v>
      </c>
      <c r="C12" s="50" t="n"/>
      <c r="D12" s="50">
        <f>if($C12="","-", COUNTA(indirect("'"&amp;$C12&amp;"'!G2:G1000")))</f>
        <v/>
      </c>
      <c r="E12" s="51">
        <f>if($C12="","-", countif(indirect("'"&amp;$C12&amp;"'!M2:M1000"),E$3))</f>
        <v/>
      </c>
      <c r="F12" s="51">
        <f>if($C12="","-", countif(indirect("'"&amp;$C12&amp;"'!M2:M1000"),F$3))</f>
        <v/>
      </c>
      <c r="G12" s="51">
        <f>if($C12="","-", countif(indirect("'"&amp;$C12&amp;"'!M2:M1000"),G$3))</f>
        <v/>
      </c>
      <c r="H12" s="51">
        <f>if($C12="","-", countif(indirect("'"&amp;$C12&amp;"'!Q2:Q1000"),H$3))</f>
        <v/>
      </c>
      <c r="I12" s="52">
        <f>iferror(H12/(F12+G12),"-")</f>
        <v/>
      </c>
    </row>
    <row r="13">
      <c r="B13" s="50" t="n">
        <v>10</v>
      </c>
      <c r="C13" s="50" t="n"/>
      <c r="D13" s="50">
        <f>if($C13="","-", COUNTA(indirect("'"&amp;$C13&amp;"'!G2:G1000")))</f>
        <v/>
      </c>
      <c r="E13" s="51">
        <f>if($C13="","-", countif(indirect("'"&amp;$C13&amp;"'!M2:M1000"),E$3))</f>
        <v/>
      </c>
      <c r="F13" s="51">
        <f>if($C13="","-", countif(indirect("'"&amp;$C13&amp;"'!M2:M1000"),F$3))</f>
        <v/>
      </c>
      <c r="G13" s="51">
        <f>if($C13="","-", countif(indirect("'"&amp;$C13&amp;"'!M2:M1000"),G$3))</f>
        <v/>
      </c>
      <c r="H13" s="51">
        <f>if($C13="","-", countif(indirect("'"&amp;$C13&amp;"'!Q2:Q1000"),H$3))</f>
        <v/>
      </c>
      <c r="I13" s="52">
        <f>iferror(H13/(F13+G13),"-")</f>
        <v/>
      </c>
    </row>
    <row r="14">
      <c r="B14" s="48" t="n">
        <v>11</v>
      </c>
      <c r="C14" s="50" t="n"/>
      <c r="D14" s="50">
        <f>if($C14="","-", COUNTA(indirect("'"&amp;$C14&amp;"'!G2:G1000")))</f>
        <v/>
      </c>
      <c r="E14" s="51">
        <f>if($C14="","-", countif(indirect("'"&amp;$C14&amp;"'!M2:M1000"),E$3))</f>
        <v/>
      </c>
      <c r="F14" s="51">
        <f>if($C14="","-", countif(indirect("'"&amp;$C14&amp;"'!M2:M1000"),F$3))</f>
        <v/>
      </c>
      <c r="G14" s="51">
        <f>if($C14="","-", countif(indirect("'"&amp;$C14&amp;"'!M2:M1000"),G$3))</f>
        <v/>
      </c>
      <c r="H14" s="51">
        <f>if($C14="","-", countif(indirect("'"&amp;$C14&amp;"'!Q2:Q1000"),H$3))</f>
        <v/>
      </c>
      <c r="I14" s="52">
        <f>iferror(H14/(F14+G14),"-")</f>
        <v/>
      </c>
    </row>
    <row r="15">
      <c r="B15" s="50" t="n">
        <v>12</v>
      </c>
      <c r="C15" s="50" t="n"/>
      <c r="D15" s="50">
        <f>if($C15="","-", COUNTA(indirect("'"&amp;$C15&amp;"'!G2:G1000")))</f>
        <v/>
      </c>
      <c r="E15" s="51">
        <f>if($C15="","-", countif(indirect("'"&amp;$C15&amp;"'!M2:M1000"),E$3))</f>
        <v/>
      </c>
      <c r="F15" s="51">
        <f>if($C15="","-", countif(indirect("'"&amp;$C15&amp;"'!M2:M1000"),F$3))</f>
        <v/>
      </c>
      <c r="G15" s="51">
        <f>if($C15="","-", countif(indirect("'"&amp;$C15&amp;"'!M2:M1000"),G$3))</f>
        <v/>
      </c>
      <c r="H15" s="51">
        <f>if($C15="","-", countif(indirect("'"&amp;$C15&amp;"'!Q2:Q1000"),H$3))</f>
        <v/>
      </c>
      <c r="I15" s="52">
        <f>iferror(H15/(F15+G15),"-")</f>
        <v/>
      </c>
    </row>
    <row r="16">
      <c r="B16" s="48" t="n">
        <v>13</v>
      </c>
      <c r="C16" s="50" t="n"/>
      <c r="D16" s="50">
        <f>if($C16="","-", COUNTA(indirect("'"&amp;$C16&amp;"'!G2:G1000")))</f>
        <v/>
      </c>
      <c r="E16" s="51">
        <f>if($C16="","-", countif(indirect("'"&amp;$C16&amp;"'!M2:M1000"),E$3))</f>
        <v/>
      </c>
      <c r="F16" s="51">
        <f>if($C16="","-", countif(indirect("'"&amp;$C16&amp;"'!M2:M1000"),F$3))</f>
        <v/>
      </c>
      <c r="G16" s="51">
        <f>if($C16="","-", countif(indirect("'"&amp;$C16&amp;"'!M2:M1000"),G$3))</f>
        <v/>
      </c>
      <c r="H16" s="51">
        <f>if($C16="","-", countif(indirect("'"&amp;$C16&amp;"'!Q2:Q1000"),H$3))</f>
        <v/>
      </c>
      <c r="I16" s="52">
        <f>iferror(H16/(F16+G16),"-")</f>
        <v/>
      </c>
    </row>
    <row r="17">
      <c r="B17" s="50" t="n">
        <v>14</v>
      </c>
      <c r="C17" s="50" t="n"/>
      <c r="D17" s="50">
        <f>if($C17="","-", COUNTA(indirect("'"&amp;$C17&amp;"'!G2:G1000")))</f>
        <v/>
      </c>
      <c r="E17" s="51">
        <f>if($C17="","-", countif(indirect("'"&amp;$C17&amp;"'!M2:M1000"),E$3))</f>
        <v/>
      </c>
      <c r="F17" s="51">
        <f>if($C17="","-", countif(indirect("'"&amp;$C17&amp;"'!M2:M1000"),F$3))</f>
        <v/>
      </c>
      <c r="G17" s="51">
        <f>if($C17="","-", countif(indirect("'"&amp;$C17&amp;"'!M2:M1000"),G$3))</f>
        <v/>
      </c>
      <c r="H17" s="51">
        <f>if($C17="","-", countif(indirect("'"&amp;$C17&amp;"'!Q2:Q1000"),H$3))</f>
        <v/>
      </c>
      <c r="I17" s="52">
        <f>iferror(H17/(F17+G17),"-")</f>
        <v/>
      </c>
    </row>
    <row r="18">
      <c r="B18" s="50" t="n"/>
      <c r="C18" s="50" t="inlineStr">
        <is>
          <t>Total</t>
        </is>
      </c>
      <c r="D18" s="50">
        <f>sum(D4:D17)</f>
        <v/>
      </c>
      <c r="E18" s="50">
        <f>sum(E4:E17)</f>
        <v/>
      </c>
      <c r="F18" s="50">
        <f>sum(F4:F17)</f>
        <v/>
      </c>
      <c r="G18" s="50">
        <f>sum(G4:G17)</f>
        <v/>
      </c>
      <c r="H18" s="50">
        <f>sum(H4:H17)</f>
        <v/>
      </c>
      <c r="I18" s="52">
        <f>iferror(H18/(F18+G18),"-")</f>
        <v/>
      </c>
    </row>
    <row r="19">
      <c r="B19" s="40" t="n"/>
      <c r="C19" s="40" t="n"/>
    </row>
    <row r="20">
      <c r="B20" s="40" t="n"/>
      <c r="C20" s="40" t="n"/>
    </row>
    <row r="21">
      <c r="B21" s="40" t="n"/>
      <c r="C21" s="40" t="n"/>
    </row>
    <row r="22">
      <c r="B22" s="40" t="n"/>
      <c r="C22" s="40" t="n"/>
    </row>
    <row r="23">
      <c r="B23" s="40" t="n"/>
      <c r="C23" s="40" t="n"/>
    </row>
    <row r="24">
      <c r="B24" s="40" t="n"/>
      <c r="C24" s="40" t="n"/>
    </row>
    <row r="25">
      <c r="B25" s="40" t="n"/>
      <c r="C25" s="40" t="n"/>
    </row>
    <row r="26">
      <c r="B26" s="40" t="n"/>
      <c r="C26" s="40" t="n"/>
    </row>
    <row r="27">
      <c r="B27" s="40" t="n"/>
      <c r="C27" s="40" t="n"/>
    </row>
    <row r="28">
      <c r="B28" s="40" t="n"/>
      <c r="C28" s="40" t="n"/>
    </row>
    <row r="29">
      <c r="B29" s="40" t="n"/>
      <c r="C29" s="40" t="n"/>
    </row>
    <row r="30">
      <c r="B30" s="40" t="n"/>
      <c r="C30" s="40" t="n"/>
    </row>
    <row r="31">
      <c r="B31" s="40" t="n"/>
      <c r="C31" s="40" t="n"/>
    </row>
    <row r="32">
      <c r="B32" s="40" t="n"/>
      <c r="C32" s="40" t="n"/>
    </row>
    <row r="33">
      <c r="B33" s="40" t="n"/>
      <c r="C33" s="40" t="n"/>
    </row>
    <row r="34">
      <c r="B34" s="40" t="n"/>
      <c r="C34" s="40" t="n"/>
    </row>
    <row r="35">
      <c r="B35" s="40" t="n"/>
      <c r="C35" s="40" t="n"/>
    </row>
    <row r="36">
      <c r="B36" s="40" t="n"/>
      <c r="C36" s="40" t="n"/>
    </row>
    <row r="37">
      <c r="B37" s="40" t="n"/>
      <c r="C37" s="40" t="n"/>
    </row>
    <row r="38">
      <c r="B38" s="40" t="n"/>
      <c r="C38" s="40" t="n"/>
    </row>
    <row r="39">
      <c r="B39" s="40" t="n"/>
      <c r="C39" s="40" t="n"/>
    </row>
    <row r="40">
      <c r="B40" s="40" t="n"/>
      <c r="C40" s="40" t="n"/>
    </row>
    <row r="41">
      <c r="B41" s="40" t="n"/>
      <c r="C41" s="40" t="n"/>
    </row>
    <row r="42">
      <c r="B42" s="40" t="n"/>
      <c r="C42" s="40" t="n"/>
    </row>
    <row r="43">
      <c r="B43" s="40" t="n"/>
      <c r="C43" s="40" t="n"/>
    </row>
    <row r="44">
      <c r="B44" s="40" t="n"/>
      <c r="C44" s="40" t="n"/>
    </row>
    <row r="45">
      <c r="B45" s="40" t="n"/>
      <c r="C45" s="40" t="n"/>
    </row>
    <row r="46">
      <c r="B46" s="40" t="n"/>
      <c r="C46" s="40" t="n"/>
    </row>
    <row r="47">
      <c r="B47" s="40" t="n"/>
      <c r="C47" s="40" t="n"/>
    </row>
    <row r="48">
      <c r="B48" s="40" t="n"/>
      <c r="C48" s="40" t="n"/>
    </row>
    <row r="49">
      <c r="B49" s="40" t="n"/>
      <c r="C49" s="40" t="n"/>
    </row>
    <row r="50">
      <c r="B50" s="40" t="n"/>
      <c r="C50" s="40" t="n"/>
    </row>
    <row r="51">
      <c r="B51" s="40" t="n"/>
      <c r="C51" s="40" t="n"/>
    </row>
    <row r="52">
      <c r="B52" s="40" t="n"/>
      <c r="C52" s="40" t="n"/>
    </row>
    <row r="53">
      <c r="B53" s="40" t="n"/>
      <c r="C53" s="40" t="n"/>
    </row>
    <row r="54">
      <c r="B54" s="40" t="n"/>
      <c r="C54" s="40" t="n"/>
    </row>
    <row r="55">
      <c r="B55" s="40" t="n"/>
      <c r="C55" s="40" t="n"/>
    </row>
    <row r="56">
      <c r="B56" s="40" t="n"/>
      <c r="C56" s="40" t="n"/>
    </row>
    <row r="57">
      <c r="B57" s="40" t="n"/>
      <c r="C57" s="40" t="n"/>
    </row>
    <row r="58">
      <c r="B58" s="40" t="n"/>
      <c r="C58" s="40" t="n"/>
    </row>
    <row r="59">
      <c r="B59" s="40" t="n"/>
      <c r="C59" s="40" t="n"/>
    </row>
    <row r="60">
      <c r="B60" s="40" t="n"/>
      <c r="C60" s="40" t="n"/>
    </row>
    <row r="61">
      <c r="B61" s="40" t="n"/>
      <c r="C61" s="40" t="n"/>
    </row>
    <row r="62">
      <c r="B62" s="40" t="n"/>
      <c r="C62" s="40" t="n"/>
    </row>
    <row r="63">
      <c r="B63" s="40" t="n"/>
      <c r="C63" s="40" t="n"/>
    </row>
    <row r="64">
      <c r="B64" s="40" t="n"/>
      <c r="C64" s="40" t="n"/>
    </row>
    <row r="65">
      <c r="B65" s="40" t="n"/>
      <c r="C65" s="40" t="n"/>
    </row>
    <row r="66">
      <c r="B66" s="40" t="n"/>
      <c r="C66" s="40" t="n"/>
    </row>
    <row r="67">
      <c r="B67" s="40" t="n"/>
      <c r="C67" s="40" t="n"/>
    </row>
    <row r="68">
      <c r="B68" s="40" t="n"/>
      <c r="C68" s="40" t="n"/>
    </row>
    <row r="69">
      <c r="B69" s="40" t="n"/>
      <c r="C69" s="40" t="n"/>
    </row>
    <row r="70">
      <c r="B70" s="40" t="n"/>
      <c r="C70" s="40" t="n"/>
    </row>
    <row r="71">
      <c r="B71" s="40" t="n"/>
      <c r="C71" s="40" t="n"/>
    </row>
    <row r="72">
      <c r="B72" s="40" t="n"/>
      <c r="C72" s="40" t="n"/>
    </row>
    <row r="73">
      <c r="B73" s="40" t="n"/>
      <c r="C73" s="40" t="n"/>
    </row>
    <row r="74">
      <c r="B74" s="40" t="n"/>
      <c r="C74" s="40" t="n"/>
    </row>
    <row r="75">
      <c r="B75" s="40" t="n"/>
      <c r="C75" s="40" t="n"/>
    </row>
    <row r="76">
      <c r="B76" s="40" t="n"/>
      <c r="C76" s="40" t="n"/>
    </row>
    <row r="77">
      <c r="B77" s="40" t="n"/>
      <c r="C77" s="40" t="n"/>
    </row>
    <row r="78">
      <c r="B78" s="40" t="n"/>
      <c r="C78" s="40" t="n"/>
    </row>
    <row r="79">
      <c r="B79" s="40" t="n"/>
      <c r="C79" s="40" t="n"/>
    </row>
    <row r="80">
      <c r="B80" s="40" t="n"/>
      <c r="C80" s="40" t="n"/>
    </row>
    <row r="81">
      <c r="B81" s="40" t="n"/>
      <c r="C81" s="40" t="n"/>
    </row>
    <row r="82">
      <c r="B82" s="40" t="n"/>
      <c r="C82" s="40" t="n"/>
    </row>
    <row r="83">
      <c r="B83" s="40" t="n"/>
      <c r="C83" s="40" t="n"/>
    </row>
    <row r="84">
      <c r="B84" s="40" t="n"/>
      <c r="C84" s="40" t="n"/>
    </row>
    <row r="85">
      <c r="B85" s="40" t="n"/>
      <c r="C85" s="40" t="n"/>
    </row>
    <row r="86">
      <c r="B86" s="40" t="n"/>
      <c r="C86" s="40" t="n"/>
    </row>
    <row r="87">
      <c r="B87" s="40" t="n"/>
      <c r="C87" s="40" t="n"/>
    </row>
    <row r="88">
      <c r="B88" s="40" t="n"/>
      <c r="C88" s="40" t="n"/>
    </row>
    <row r="89">
      <c r="B89" s="40" t="n"/>
      <c r="C89" s="40" t="n"/>
    </row>
    <row r="90">
      <c r="B90" s="40" t="n"/>
      <c r="C90" s="40" t="n"/>
    </row>
    <row r="91">
      <c r="B91" s="40" t="n"/>
      <c r="C91" s="40" t="n"/>
    </row>
    <row r="92">
      <c r="B92" s="40" t="n"/>
      <c r="C92" s="40" t="n"/>
    </row>
    <row r="93">
      <c r="B93" s="40" t="n"/>
      <c r="C93" s="40" t="n"/>
    </row>
    <row r="94">
      <c r="B94" s="40" t="n"/>
      <c r="C94" s="40" t="n"/>
    </row>
    <row r="95">
      <c r="B95" s="40" t="n"/>
      <c r="C95" s="40" t="n"/>
    </row>
    <row r="96">
      <c r="B96" s="40" t="n"/>
      <c r="C96" s="40" t="n"/>
    </row>
    <row r="97">
      <c r="B97" s="40" t="n"/>
      <c r="C97" s="40" t="n"/>
    </row>
    <row r="98">
      <c r="B98" s="40" t="n"/>
      <c r="C98" s="40" t="n"/>
    </row>
    <row r="99">
      <c r="B99" s="40" t="n"/>
      <c r="C99" s="40" t="n"/>
    </row>
    <row r="100">
      <c r="B100" s="40" t="n"/>
      <c r="C100" s="40" t="n"/>
    </row>
    <row r="101">
      <c r="B101" s="40" t="n"/>
      <c r="C101" s="40" t="n"/>
    </row>
    <row r="102">
      <c r="B102" s="40" t="n"/>
      <c r="C102" s="40" t="n"/>
    </row>
    <row r="103">
      <c r="B103" s="40" t="n"/>
      <c r="C103" s="40" t="n"/>
    </row>
    <row r="104">
      <c r="B104" s="40" t="n"/>
      <c r="C104" s="40" t="n"/>
    </row>
    <row r="105">
      <c r="B105" s="40" t="n"/>
      <c r="C105" s="40" t="n"/>
    </row>
    <row r="106">
      <c r="B106" s="40" t="n"/>
      <c r="C106" s="40" t="n"/>
    </row>
    <row r="107">
      <c r="B107" s="40" t="n"/>
      <c r="C107" s="40" t="n"/>
    </row>
    <row r="108">
      <c r="B108" s="40" t="n"/>
      <c r="C108" s="40" t="n"/>
    </row>
    <row r="109">
      <c r="B109" s="40" t="n"/>
      <c r="C109" s="40" t="n"/>
    </row>
    <row r="110">
      <c r="B110" s="40" t="n"/>
      <c r="C110" s="40" t="n"/>
    </row>
    <row r="111">
      <c r="B111" s="40" t="n"/>
      <c r="C111" s="40" t="n"/>
    </row>
    <row r="112">
      <c r="B112" s="40" t="n"/>
      <c r="C112" s="40" t="n"/>
    </row>
    <row r="113">
      <c r="B113" s="40" t="n"/>
      <c r="C113" s="40" t="n"/>
    </row>
    <row r="114">
      <c r="B114" s="40" t="n"/>
      <c r="C114" s="40" t="n"/>
    </row>
    <row r="115">
      <c r="B115" s="40" t="n"/>
      <c r="C115" s="40" t="n"/>
    </row>
    <row r="116">
      <c r="B116" s="40" t="n"/>
      <c r="C116" s="40" t="n"/>
    </row>
    <row r="117">
      <c r="B117" s="40" t="n"/>
      <c r="C117" s="40" t="n"/>
    </row>
    <row r="118">
      <c r="B118" s="40" t="n"/>
      <c r="C118" s="40" t="n"/>
    </row>
    <row r="119">
      <c r="B119" s="40" t="n"/>
      <c r="C119" s="40" t="n"/>
    </row>
    <row r="120">
      <c r="B120" s="40" t="n"/>
      <c r="C120" s="40" t="n"/>
    </row>
    <row r="121">
      <c r="B121" s="40" t="n"/>
      <c r="C121" s="40" t="n"/>
    </row>
    <row r="122">
      <c r="B122" s="40" t="n"/>
      <c r="C122" s="40" t="n"/>
    </row>
    <row r="123">
      <c r="B123" s="40" t="n"/>
      <c r="C123" s="40" t="n"/>
    </row>
    <row r="124">
      <c r="B124" s="40" t="n"/>
      <c r="C124" s="40" t="n"/>
    </row>
    <row r="125">
      <c r="B125" s="40" t="n"/>
      <c r="C125" s="40" t="n"/>
    </row>
    <row r="126">
      <c r="B126" s="40" t="n"/>
      <c r="C126" s="40" t="n"/>
    </row>
    <row r="127">
      <c r="B127" s="40" t="n"/>
      <c r="C127" s="40" t="n"/>
    </row>
    <row r="128">
      <c r="B128" s="40" t="n"/>
      <c r="C128" s="40" t="n"/>
    </row>
    <row r="129">
      <c r="B129" s="40" t="n"/>
      <c r="C129" s="40" t="n"/>
    </row>
    <row r="130">
      <c r="B130" s="40" t="n"/>
      <c r="C130" s="40" t="n"/>
    </row>
    <row r="131">
      <c r="B131" s="40" t="n"/>
      <c r="C131" s="40" t="n"/>
    </row>
    <row r="132">
      <c r="B132" s="40" t="n"/>
      <c r="C132" s="40" t="n"/>
    </row>
    <row r="133">
      <c r="B133" s="40" t="n"/>
      <c r="C133" s="40" t="n"/>
    </row>
    <row r="134">
      <c r="B134" s="40" t="n"/>
      <c r="C134" s="40" t="n"/>
    </row>
    <row r="135">
      <c r="B135" s="40" t="n"/>
      <c r="C135" s="40" t="n"/>
    </row>
    <row r="136">
      <c r="B136" s="40" t="n"/>
      <c r="C136" s="40" t="n"/>
    </row>
    <row r="137">
      <c r="B137" s="40" t="n"/>
      <c r="C137" s="40" t="n"/>
    </row>
    <row r="138">
      <c r="B138" s="40" t="n"/>
      <c r="C138" s="40" t="n"/>
    </row>
    <row r="139">
      <c r="B139" s="40" t="n"/>
      <c r="C139" s="40" t="n"/>
    </row>
    <row r="140">
      <c r="B140" s="40" t="n"/>
      <c r="C140" s="40" t="n"/>
    </row>
    <row r="141">
      <c r="B141" s="40" t="n"/>
      <c r="C141" s="40" t="n"/>
    </row>
    <row r="142">
      <c r="B142" s="40" t="n"/>
      <c r="C142" s="40" t="n"/>
    </row>
    <row r="143">
      <c r="B143" s="40" t="n"/>
      <c r="C143" s="40" t="n"/>
    </row>
    <row r="144">
      <c r="B144" s="40" t="n"/>
      <c r="C144" s="40" t="n"/>
    </row>
    <row r="145">
      <c r="B145" s="40" t="n"/>
      <c r="C145" s="40" t="n"/>
    </row>
    <row r="146">
      <c r="B146" s="40" t="n"/>
      <c r="C146" s="40" t="n"/>
    </row>
    <row r="147">
      <c r="B147" s="40" t="n"/>
      <c r="C147" s="40" t="n"/>
    </row>
    <row r="148">
      <c r="B148" s="40" t="n"/>
      <c r="C148" s="40" t="n"/>
    </row>
    <row r="149">
      <c r="B149" s="40" t="n"/>
      <c r="C149" s="40" t="n"/>
    </row>
    <row r="150">
      <c r="B150" s="40" t="n"/>
      <c r="C150" s="40" t="n"/>
    </row>
    <row r="151">
      <c r="B151" s="40" t="n"/>
      <c r="C151" s="40" t="n"/>
    </row>
    <row r="152">
      <c r="B152" s="40" t="n"/>
      <c r="C152" s="40" t="n"/>
    </row>
    <row r="153">
      <c r="B153" s="40" t="n"/>
      <c r="C153" s="40" t="n"/>
    </row>
    <row r="154">
      <c r="B154" s="40" t="n"/>
      <c r="C154" s="40" t="n"/>
    </row>
    <row r="155">
      <c r="B155" s="40" t="n"/>
      <c r="C155" s="40" t="n"/>
    </row>
    <row r="156">
      <c r="B156" s="40" t="n"/>
      <c r="C156" s="40" t="n"/>
    </row>
    <row r="157">
      <c r="B157" s="40" t="n"/>
      <c r="C157" s="40" t="n"/>
    </row>
    <row r="158">
      <c r="B158" s="40" t="n"/>
      <c r="C158" s="40" t="n"/>
    </row>
    <row r="159">
      <c r="B159" s="40" t="n"/>
      <c r="C159" s="40" t="n"/>
    </row>
    <row r="160">
      <c r="B160" s="40" t="n"/>
      <c r="C160" s="40" t="n"/>
    </row>
    <row r="161">
      <c r="B161" s="40" t="n"/>
      <c r="C161" s="40" t="n"/>
    </row>
    <row r="162">
      <c r="B162" s="40" t="n"/>
      <c r="C162" s="40" t="n"/>
    </row>
    <row r="163">
      <c r="B163" s="40" t="n"/>
      <c r="C163" s="40" t="n"/>
    </row>
    <row r="164">
      <c r="B164" s="40" t="n"/>
      <c r="C164" s="40" t="n"/>
    </row>
    <row r="165">
      <c r="B165" s="40" t="n"/>
      <c r="C165" s="40" t="n"/>
    </row>
    <row r="166">
      <c r="B166" s="40" t="n"/>
      <c r="C166" s="40" t="n"/>
    </row>
    <row r="167">
      <c r="B167" s="40" t="n"/>
      <c r="C167" s="40" t="n"/>
    </row>
    <row r="168">
      <c r="B168" s="40" t="n"/>
      <c r="C168" s="40" t="n"/>
    </row>
    <row r="169">
      <c r="B169" s="40" t="n"/>
      <c r="C169" s="40" t="n"/>
    </row>
    <row r="170">
      <c r="B170" s="40" t="n"/>
      <c r="C170" s="40" t="n"/>
    </row>
    <row r="171">
      <c r="B171" s="40" t="n"/>
      <c r="C171" s="40" t="n"/>
    </row>
    <row r="172">
      <c r="B172" s="40" t="n"/>
      <c r="C172" s="40" t="n"/>
    </row>
    <row r="173">
      <c r="B173" s="40" t="n"/>
      <c r="C173" s="40" t="n"/>
    </row>
    <row r="174">
      <c r="B174" s="40" t="n"/>
      <c r="C174" s="40" t="n"/>
    </row>
    <row r="175">
      <c r="B175" s="40" t="n"/>
      <c r="C175" s="40" t="n"/>
    </row>
    <row r="176">
      <c r="B176" s="40" t="n"/>
      <c r="C176" s="40" t="n"/>
    </row>
    <row r="177">
      <c r="B177" s="40" t="n"/>
      <c r="C177" s="40" t="n"/>
    </row>
    <row r="178">
      <c r="B178" s="40" t="n"/>
      <c r="C178" s="40" t="n"/>
    </row>
    <row r="179">
      <c r="B179" s="40" t="n"/>
      <c r="C179" s="40" t="n"/>
    </row>
    <row r="180">
      <c r="B180" s="40" t="n"/>
      <c r="C180" s="40" t="n"/>
    </row>
    <row r="181">
      <c r="B181" s="40" t="n"/>
      <c r="C181" s="40" t="n"/>
    </row>
    <row r="182">
      <c r="B182" s="40" t="n"/>
      <c r="C182" s="40" t="n"/>
    </row>
    <row r="183">
      <c r="B183" s="40" t="n"/>
      <c r="C183" s="40" t="n"/>
    </row>
    <row r="184">
      <c r="B184" s="40" t="n"/>
      <c r="C184" s="40" t="n"/>
    </row>
    <row r="185">
      <c r="B185" s="40" t="n"/>
      <c r="C185" s="40" t="n"/>
    </row>
    <row r="186">
      <c r="B186" s="40" t="n"/>
      <c r="C186" s="40" t="n"/>
    </row>
    <row r="187">
      <c r="B187" s="40" t="n"/>
      <c r="C187" s="40" t="n"/>
    </row>
    <row r="188">
      <c r="B188" s="40" t="n"/>
      <c r="C188" s="40" t="n"/>
    </row>
    <row r="189">
      <c r="B189" s="40" t="n"/>
      <c r="C189" s="40" t="n"/>
    </row>
    <row r="190">
      <c r="B190" s="40" t="n"/>
      <c r="C190" s="40" t="n"/>
    </row>
    <row r="191">
      <c r="B191" s="40" t="n"/>
      <c r="C191" s="40" t="n"/>
    </row>
    <row r="192">
      <c r="B192" s="40" t="n"/>
      <c r="C192" s="40" t="n"/>
    </row>
    <row r="193">
      <c r="B193" s="40" t="n"/>
      <c r="C193" s="40" t="n"/>
    </row>
    <row r="194">
      <c r="B194" s="40" t="n"/>
      <c r="C194" s="40" t="n"/>
    </row>
    <row r="195">
      <c r="B195" s="40" t="n"/>
      <c r="C195" s="40" t="n"/>
    </row>
    <row r="196">
      <c r="B196" s="40" t="n"/>
      <c r="C196" s="40" t="n"/>
    </row>
    <row r="197">
      <c r="B197" s="40" t="n"/>
      <c r="C197" s="40" t="n"/>
    </row>
    <row r="198">
      <c r="B198" s="40" t="n"/>
      <c r="C198" s="40" t="n"/>
    </row>
    <row r="199">
      <c r="B199" s="40" t="n"/>
      <c r="C199" s="40" t="n"/>
    </row>
    <row r="200">
      <c r="B200" s="40" t="n"/>
      <c r="C200" s="40" t="n"/>
    </row>
    <row r="201">
      <c r="B201" s="40" t="n"/>
      <c r="C201" s="40" t="n"/>
    </row>
    <row r="202">
      <c r="B202" s="40" t="n"/>
      <c r="C202" s="40" t="n"/>
    </row>
    <row r="203">
      <c r="B203" s="40" t="n"/>
      <c r="C203" s="40" t="n"/>
    </row>
    <row r="204">
      <c r="B204" s="40" t="n"/>
      <c r="C204" s="40" t="n"/>
    </row>
    <row r="205">
      <c r="B205" s="40" t="n"/>
      <c r="C205" s="40" t="n"/>
    </row>
    <row r="206">
      <c r="B206" s="40" t="n"/>
      <c r="C206" s="40" t="n"/>
    </row>
    <row r="207">
      <c r="B207" s="40" t="n"/>
      <c r="C207" s="40" t="n"/>
    </row>
    <row r="208">
      <c r="B208" s="40" t="n"/>
      <c r="C208" s="40" t="n"/>
    </row>
    <row r="209">
      <c r="B209" s="40" t="n"/>
      <c r="C209" s="40" t="n"/>
    </row>
    <row r="210">
      <c r="B210" s="40" t="n"/>
      <c r="C210" s="40" t="n"/>
    </row>
    <row r="211">
      <c r="B211" s="40" t="n"/>
      <c r="C211" s="40" t="n"/>
    </row>
    <row r="212">
      <c r="B212" s="40" t="n"/>
      <c r="C212" s="40" t="n"/>
    </row>
    <row r="213">
      <c r="B213" s="40" t="n"/>
      <c r="C213" s="40" t="n"/>
    </row>
    <row r="214">
      <c r="B214" s="40" t="n"/>
      <c r="C214" s="40" t="n"/>
    </row>
    <row r="215">
      <c r="B215" s="40" t="n"/>
      <c r="C215" s="40" t="n"/>
    </row>
    <row r="216">
      <c r="B216" s="40" t="n"/>
      <c r="C216" s="40" t="n"/>
    </row>
    <row r="217">
      <c r="B217" s="40" t="n"/>
      <c r="C217" s="40" t="n"/>
    </row>
    <row r="218">
      <c r="B218" s="40" t="n"/>
      <c r="C218" s="40" t="n"/>
    </row>
    <row r="219">
      <c r="B219" s="40" t="n"/>
      <c r="C219" s="40" t="n"/>
    </row>
    <row r="220">
      <c r="B220" s="40" t="n"/>
      <c r="C220" s="40" t="n"/>
    </row>
    <row r="221">
      <c r="B221" s="40" t="n"/>
      <c r="C221" s="40" t="n"/>
    </row>
    <row r="222">
      <c r="B222" s="40" t="n"/>
      <c r="C222" s="40" t="n"/>
    </row>
    <row r="223">
      <c r="B223" s="40" t="n"/>
      <c r="C223" s="40" t="n"/>
    </row>
    <row r="224">
      <c r="B224" s="40" t="n"/>
      <c r="C224" s="40" t="n"/>
    </row>
    <row r="225">
      <c r="B225" s="40" t="n"/>
      <c r="C225" s="40" t="n"/>
    </row>
    <row r="226">
      <c r="B226" s="40" t="n"/>
      <c r="C226" s="40" t="n"/>
    </row>
    <row r="227">
      <c r="B227" s="40" t="n"/>
      <c r="C227" s="40" t="n"/>
    </row>
    <row r="228">
      <c r="B228" s="40" t="n"/>
      <c r="C228" s="40" t="n"/>
    </row>
    <row r="229">
      <c r="B229" s="40" t="n"/>
      <c r="C229" s="40" t="n"/>
    </row>
    <row r="230">
      <c r="B230" s="40" t="n"/>
      <c r="C230" s="40" t="n"/>
    </row>
    <row r="231">
      <c r="B231" s="40" t="n"/>
      <c r="C231" s="40" t="n"/>
    </row>
    <row r="232">
      <c r="B232" s="40" t="n"/>
      <c r="C232" s="40" t="n"/>
    </row>
    <row r="233">
      <c r="B233" s="40" t="n"/>
      <c r="C233" s="40" t="n"/>
    </row>
    <row r="234">
      <c r="B234" s="40" t="n"/>
      <c r="C234" s="40" t="n"/>
    </row>
    <row r="235">
      <c r="B235" s="40" t="n"/>
      <c r="C235" s="40" t="n"/>
    </row>
    <row r="236">
      <c r="B236" s="40" t="n"/>
      <c r="C236" s="40" t="n"/>
    </row>
    <row r="237">
      <c r="B237" s="40" t="n"/>
      <c r="C237" s="40" t="n"/>
    </row>
    <row r="238">
      <c r="B238" s="40" t="n"/>
      <c r="C238" s="40" t="n"/>
    </row>
    <row r="239">
      <c r="B239" s="40" t="n"/>
      <c r="C239" s="40" t="n"/>
    </row>
    <row r="240">
      <c r="B240" s="40" t="n"/>
      <c r="C240" s="40" t="n"/>
    </row>
    <row r="241">
      <c r="B241" s="40" t="n"/>
      <c r="C241" s="40" t="n"/>
    </row>
    <row r="242">
      <c r="B242" s="40" t="n"/>
      <c r="C242" s="40" t="n"/>
    </row>
    <row r="243">
      <c r="B243" s="40" t="n"/>
      <c r="C243" s="40" t="n"/>
    </row>
    <row r="244">
      <c r="B244" s="40" t="n"/>
      <c r="C244" s="40" t="n"/>
    </row>
    <row r="245">
      <c r="B245" s="40" t="n"/>
      <c r="C245" s="40" t="n"/>
    </row>
    <row r="246">
      <c r="B246" s="40" t="n"/>
      <c r="C246" s="40" t="n"/>
    </row>
    <row r="247">
      <c r="B247" s="40" t="n"/>
      <c r="C247" s="40" t="n"/>
    </row>
    <row r="248">
      <c r="B248" s="40" t="n"/>
      <c r="C248" s="40" t="n"/>
    </row>
    <row r="249">
      <c r="B249" s="40" t="n"/>
      <c r="C249" s="40" t="n"/>
    </row>
    <row r="250">
      <c r="B250" s="40" t="n"/>
      <c r="C250" s="40" t="n"/>
    </row>
    <row r="251">
      <c r="B251" s="40" t="n"/>
      <c r="C251" s="40" t="n"/>
    </row>
    <row r="252">
      <c r="B252" s="40" t="n"/>
      <c r="C252" s="40" t="n"/>
    </row>
    <row r="253">
      <c r="B253" s="40" t="n"/>
      <c r="C253" s="40" t="n"/>
    </row>
    <row r="254">
      <c r="B254" s="40" t="n"/>
      <c r="C254" s="40" t="n"/>
    </row>
    <row r="255">
      <c r="B255" s="40" t="n"/>
      <c r="C255" s="40" t="n"/>
    </row>
    <row r="256">
      <c r="B256" s="40" t="n"/>
      <c r="C256" s="40" t="n"/>
    </row>
    <row r="257">
      <c r="B257" s="40" t="n"/>
      <c r="C257" s="40" t="n"/>
    </row>
    <row r="258">
      <c r="B258" s="40" t="n"/>
      <c r="C258" s="40" t="n"/>
    </row>
    <row r="259">
      <c r="B259" s="40" t="n"/>
      <c r="C259" s="40" t="n"/>
    </row>
    <row r="260">
      <c r="B260" s="40" t="n"/>
      <c r="C260" s="40" t="n"/>
    </row>
    <row r="261">
      <c r="B261" s="40" t="n"/>
      <c r="C261" s="40" t="n"/>
    </row>
    <row r="262">
      <c r="B262" s="40" t="n"/>
      <c r="C262" s="40" t="n"/>
    </row>
    <row r="263">
      <c r="B263" s="40" t="n"/>
      <c r="C263" s="40" t="n"/>
    </row>
    <row r="264">
      <c r="B264" s="40" t="n"/>
      <c r="C264" s="40" t="n"/>
    </row>
    <row r="265">
      <c r="B265" s="40" t="n"/>
      <c r="C265" s="40" t="n"/>
    </row>
    <row r="266">
      <c r="B266" s="40" t="n"/>
      <c r="C266" s="40" t="n"/>
    </row>
    <row r="267">
      <c r="B267" s="40" t="n"/>
      <c r="C267" s="40" t="n"/>
    </row>
    <row r="268">
      <c r="B268" s="40" t="n"/>
      <c r="C268" s="40" t="n"/>
    </row>
    <row r="269">
      <c r="B269" s="40" t="n"/>
      <c r="C269" s="40" t="n"/>
    </row>
    <row r="270">
      <c r="B270" s="40" t="n"/>
      <c r="C270" s="40" t="n"/>
    </row>
    <row r="271">
      <c r="B271" s="40" t="n"/>
      <c r="C271" s="40" t="n"/>
    </row>
    <row r="272">
      <c r="B272" s="40" t="n"/>
      <c r="C272" s="40" t="n"/>
    </row>
    <row r="273">
      <c r="B273" s="40" t="n"/>
      <c r="C273" s="40" t="n"/>
    </row>
    <row r="274">
      <c r="B274" s="40" t="n"/>
      <c r="C274" s="40" t="n"/>
    </row>
    <row r="275">
      <c r="B275" s="40" t="n"/>
      <c r="C275" s="40" t="n"/>
    </row>
    <row r="276">
      <c r="B276" s="40" t="n"/>
      <c r="C276" s="40" t="n"/>
    </row>
    <row r="277">
      <c r="B277" s="40" t="n"/>
      <c r="C277" s="40" t="n"/>
    </row>
    <row r="278">
      <c r="B278" s="40" t="n"/>
      <c r="C278" s="40" t="n"/>
    </row>
    <row r="279">
      <c r="B279" s="40" t="n"/>
      <c r="C279" s="40" t="n"/>
    </row>
    <row r="280">
      <c r="B280" s="40" t="n"/>
      <c r="C280" s="40" t="n"/>
    </row>
    <row r="281">
      <c r="B281" s="40" t="n"/>
      <c r="C281" s="40" t="n"/>
    </row>
    <row r="282">
      <c r="B282" s="40" t="n"/>
      <c r="C282" s="40" t="n"/>
    </row>
    <row r="283">
      <c r="B283" s="40" t="n"/>
      <c r="C283" s="40" t="n"/>
    </row>
    <row r="284">
      <c r="B284" s="40" t="n"/>
      <c r="C284" s="40" t="n"/>
    </row>
    <row r="285">
      <c r="B285" s="40" t="n"/>
      <c r="C285" s="40" t="n"/>
    </row>
    <row r="286">
      <c r="B286" s="40" t="n"/>
      <c r="C286" s="40" t="n"/>
    </row>
    <row r="287">
      <c r="B287" s="40" t="n"/>
      <c r="C287" s="40" t="n"/>
    </row>
    <row r="288">
      <c r="B288" s="40" t="n"/>
      <c r="C288" s="40" t="n"/>
    </row>
    <row r="289">
      <c r="B289" s="40" t="n"/>
      <c r="C289" s="40" t="n"/>
    </row>
    <row r="290">
      <c r="B290" s="40" t="n"/>
      <c r="C290" s="40" t="n"/>
    </row>
    <row r="291">
      <c r="B291" s="40" t="n"/>
      <c r="C291" s="40" t="n"/>
    </row>
    <row r="292">
      <c r="B292" s="40" t="n"/>
      <c r="C292" s="40" t="n"/>
    </row>
    <row r="293">
      <c r="B293" s="40" t="n"/>
      <c r="C293" s="40" t="n"/>
    </row>
    <row r="294">
      <c r="B294" s="40" t="n"/>
      <c r="C294" s="40" t="n"/>
    </row>
    <row r="295">
      <c r="B295" s="40" t="n"/>
      <c r="C295" s="40" t="n"/>
    </row>
    <row r="296">
      <c r="B296" s="40" t="n"/>
      <c r="C296" s="40" t="n"/>
    </row>
    <row r="297">
      <c r="B297" s="40" t="n"/>
      <c r="C297" s="40" t="n"/>
    </row>
    <row r="298">
      <c r="B298" s="40" t="n"/>
      <c r="C298" s="40" t="n"/>
    </row>
    <row r="299">
      <c r="B299" s="40" t="n"/>
      <c r="C299" s="40" t="n"/>
    </row>
    <row r="300">
      <c r="B300" s="40" t="n"/>
      <c r="C300" s="40" t="n"/>
    </row>
    <row r="301">
      <c r="B301" s="40" t="n"/>
      <c r="C301" s="40" t="n"/>
    </row>
    <row r="302">
      <c r="B302" s="40" t="n"/>
      <c r="C302" s="40" t="n"/>
    </row>
    <row r="303">
      <c r="B303" s="40" t="n"/>
      <c r="C303" s="40" t="n"/>
    </row>
    <row r="304">
      <c r="B304" s="40" t="n"/>
      <c r="C304" s="40" t="n"/>
    </row>
    <row r="305">
      <c r="B305" s="40" t="n"/>
      <c r="C305" s="40" t="n"/>
    </row>
    <row r="306">
      <c r="B306" s="40" t="n"/>
      <c r="C306" s="40" t="n"/>
    </row>
    <row r="307">
      <c r="B307" s="40" t="n"/>
      <c r="C307" s="40" t="n"/>
    </row>
    <row r="308">
      <c r="B308" s="40" t="n"/>
      <c r="C308" s="40" t="n"/>
    </row>
    <row r="309">
      <c r="B309" s="40" t="n"/>
      <c r="C309" s="40" t="n"/>
    </row>
    <row r="310">
      <c r="B310" s="40" t="n"/>
      <c r="C310" s="40" t="n"/>
    </row>
    <row r="311">
      <c r="B311" s="40" t="n"/>
      <c r="C311" s="40" t="n"/>
    </row>
    <row r="312">
      <c r="B312" s="40" t="n"/>
      <c r="C312" s="40" t="n"/>
    </row>
    <row r="313">
      <c r="B313" s="40" t="n"/>
      <c r="C313" s="40" t="n"/>
    </row>
    <row r="314">
      <c r="B314" s="40" t="n"/>
      <c r="C314" s="40" t="n"/>
    </row>
    <row r="315">
      <c r="B315" s="40" t="n"/>
      <c r="C315" s="40" t="n"/>
    </row>
    <row r="316">
      <c r="B316" s="40" t="n"/>
      <c r="C316" s="40" t="n"/>
    </row>
    <row r="317">
      <c r="B317" s="40" t="n"/>
      <c r="C317" s="40" t="n"/>
    </row>
    <row r="318">
      <c r="B318" s="40" t="n"/>
      <c r="C318" s="40" t="n"/>
    </row>
    <row r="319">
      <c r="B319" s="40" t="n"/>
      <c r="C319" s="40" t="n"/>
    </row>
    <row r="320">
      <c r="B320" s="40" t="n"/>
      <c r="C320" s="40" t="n"/>
    </row>
    <row r="321">
      <c r="B321" s="40" t="n"/>
      <c r="C321" s="40" t="n"/>
    </row>
    <row r="322">
      <c r="B322" s="40" t="n"/>
      <c r="C322" s="40" t="n"/>
    </row>
    <row r="323">
      <c r="B323" s="40" t="n"/>
      <c r="C323" s="40" t="n"/>
    </row>
    <row r="324">
      <c r="B324" s="40" t="n"/>
      <c r="C324" s="40" t="n"/>
    </row>
    <row r="325">
      <c r="B325" s="40" t="n"/>
      <c r="C325" s="40" t="n"/>
    </row>
    <row r="326">
      <c r="B326" s="40" t="n"/>
      <c r="C326" s="40" t="n"/>
    </row>
    <row r="327">
      <c r="B327" s="40" t="n"/>
      <c r="C327" s="40" t="n"/>
    </row>
    <row r="328">
      <c r="B328" s="40" t="n"/>
      <c r="C328" s="40" t="n"/>
    </row>
    <row r="329">
      <c r="B329" s="40" t="n"/>
      <c r="C329" s="40" t="n"/>
    </row>
    <row r="330">
      <c r="B330" s="40" t="n"/>
      <c r="C330" s="40" t="n"/>
    </row>
    <row r="331">
      <c r="B331" s="40" t="n"/>
      <c r="C331" s="40" t="n"/>
    </row>
    <row r="332">
      <c r="B332" s="40" t="n"/>
      <c r="C332" s="40" t="n"/>
    </row>
    <row r="333">
      <c r="B333" s="40" t="n"/>
      <c r="C333" s="40" t="n"/>
    </row>
    <row r="334">
      <c r="B334" s="40" t="n"/>
      <c r="C334" s="40" t="n"/>
    </row>
    <row r="335">
      <c r="B335" s="40" t="n"/>
      <c r="C335" s="40" t="n"/>
    </row>
    <row r="336">
      <c r="B336" s="40" t="n"/>
      <c r="C336" s="40" t="n"/>
    </row>
    <row r="337">
      <c r="B337" s="40" t="n"/>
      <c r="C337" s="40" t="n"/>
    </row>
    <row r="338">
      <c r="B338" s="40" t="n"/>
      <c r="C338" s="40" t="n"/>
    </row>
    <row r="339">
      <c r="B339" s="40" t="n"/>
      <c r="C339" s="40" t="n"/>
    </row>
    <row r="340">
      <c r="B340" s="40" t="n"/>
      <c r="C340" s="40" t="n"/>
    </row>
    <row r="341">
      <c r="B341" s="40" t="n"/>
      <c r="C341" s="40" t="n"/>
    </row>
    <row r="342">
      <c r="B342" s="40" t="n"/>
      <c r="C342" s="40" t="n"/>
    </row>
    <row r="343">
      <c r="B343" s="40" t="n"/>
      <c r="C343" s="40" t="n"/>
    </row>
    <row r="344">
      <c r="B344" s="40" t="n"/>
      <c r="C344" s="40" t="n"/>
    </row>
    <row r="345">
      <c r="B345" s="40" t="n"/>
      <c r="C345" s="40" t="n"/>
    </row>
    <row r="346">
      <c r="B346" s="40" t="n"/>
      <c r="C346" s="40" t="n"/>
    </row>
    <row r="347">
      <c r="B347" s="40" t="n"/>
      <c r="C347" s="40" t="n"/>
    </row>
    <row r="348">
      <c r="B348" s="40" t="n"/>
      <c r="C348" s="40" t="n"/>
    </row>
    <row r="349">
      <c r="B349" s="40" t="n"/>
      <c r="C349" s="40" t="n"/>
    </row>
    <row r="350">
      <c r="B350" s="40" t="n"/>
      <c r="C350" s="40" t="n"/>
    </row>
    <row r="351">
      <c r="B351" s="40" t="n"/>
      <c r="C351" s="40" t="n"/>
    </row>
    <row r="352">
      <c r="B352" s="40" t="n"/>
      <c r="C352" s="40" t="n"/>
    </row>
    <row r="353">
      <c r="B353" s="40" t="n"/>
      <c r="C353" s="40" t="n"/>
    </row>
    <row r="354">
      <c r="B354" s="40" t="n"/>
      <c r="C354" s="40" t="n"/>
    </row>
    <row r="355">
      <c r="B355" s="40" t="n"/>
      <c r="C355" s="40" t="n"/>
    </row>
    <row r="356">
      <c r="B356" s="40" t="n"/>
      <c r="C356" s="40" t="n"/>
    </row>
    <row r="357">
      <c r="B357" s="40" t="n"/>
      <c r="C357" s="40" t="n"/>
    </row>
    <row r="358">
      <c r="B358" s="40" t="n"/>
      <c r="C358" s="40" t="n"/>
    </row>
    <row r="359">
      <c r="B359" s="40" t="n"/>
      <c r="C359" s="40" t="n"/>
    </row>
    <row r="360">
      <c r="B360" s="40" t="n"/>
      <c r="C360" s="40" t="n"/>
    </row>
    <row r="361">
      <c r="B361" s="40" t="n"/>
      <c r="C361" s="40" t="n"/>
    </row>
    <row r="362">
      <c r="B362" s="40" t="n"/>
      <c r="C362" s="40" t="n"/>
    </row>
    <row r="363">
      <c r="B363" s="40" t="n"/>
      <c r="C363" s="40" t="n"/>
    </row>
    <row r="364">
      <c r="B364" s="40" t="n"/>
      <c r="C364" s="40" t="n"/>
    </row>
    <row r="365">
      <c r="B365" s="40" t="n"/>
      <c r="C365" s="40" t="n"/>
    </row>
    <row r="366">
      <c r="B366" s="40" t="n"/>
      <c r="C366" s="40" t="n"/>
    </row>
    <row r="367">
      <c r="B367" s="40" t="n"/>
      <c r="C367" s="40" t="n"/>
    </row>
    <row r="368">
      <c r="B368" s="40" t="n"/>
      <c r="C368" s="40" t="n"/>
    </row>
    <row r="369">
      <c r="B369" s="40" t="n"/>
      <c r="C369" s="40" t="n"/>
    </row>
    <row r="370">
      <c r="B370" s="40" t="n"/>
      <c r="C370" s="40" t="n"/>
    </row>
    <row r="371">
      <c r="B371" s="40" t="n"/>
      <c r="C371" s="40" t="n"/>
    </row>
    <row r="372">
      <c r="B372" s="40" t="n"/>
      <c r="C372" s="40" t="n"/>
    </row>
    <row r="373">
      <c r="B373" s="40" t="n"/>
      <c r="C373" s="40" t="n"/>
    </row>
    <row r="374">
      <c r="B374" s="40" t="n"/>
      <c r="C374" s="40" t="n"/>
    </row>
    <row r="375">
      <c r="B375" s="40" t="n"/>
      <c r="C375" s="40" t="n"/>
    </row>
    <row r="376">
      <c r="B376" s="40" t="n"/>
      <c r="C376" s="40" t="n"/>
    </row>
    <row r="377">
      <c r="B377" s="40" t="n"/>
      <c r="C377" s="40" t="n"/>
    </row>
    <row r="378">
      <c r="B378" s="40" t="n"/>
      <c r="C378" s="40" t="n"/>
    </row>
    <row r="379">
      <c r="B379" s="40" t="n"/>
      <c r="C379" s="40" t="n"/>
    </row>
    <row r="380">
      <c r="B380" s="40" t="n"/>
      <c r="C380" s="40" t="n"/>
    </row>
    <row r="381">
      <c r="B381" s="40" t="n"/>
      <c r="C381" s="40" t="n"/>
    </row>
    <row r="382">
      <c r="B382" s="40" t="n"/>
      <c r="C382" s="40" t="n"/>
    </row>
    <row r="383">
      <c r="B383" s="40" t="n"/>
      <c r="C383" s="40" t="n"/>
    </row>
    <row r="384">
      <c r="B384" s="40" t="n"/>
      <c r="C384" s="40" t="n"/>
    </row>
    <row r="385">
      <c r="B385" s="40" t="n"/>
      <c r="C385" s="40" t="n"/>
    </row>
    <row r="386">
      <c r="B386" s="40" t="n"/>
      <c r="C386" s="40" t="n"/>
    </row>
    <row r="387">
      <c r="B387" s="40" t="n"/>
      <c r="C387" s="40" t="n"/>
    </row>
    <row r="388">
      <c r="B388" s="40" t="n"/>
      <c r="C388" s="40" t="n"/>
    </row>
    <row r="389">
      <c r="B389" s="40" t="n"/>
      <c r="C389" s="40" t="n"/>
    </row>
    <row r="390">
      <c r="B390" s="40" t="n"/>
      <c r="C390" s="40" t="n"/>
    </row>
    <row r="391">
      <c r="B391" s="40" t="n"/>
      <c r="C391" s="40" t="n"/>
    </row>
    <row r="392">
      <c r="B392" s="40" t="n"/>
      <c r="C392" s="40" t="n"/>
    </row>
    <row r="393">
      <c r="B393" s="40" t="n"/>
      <c r="C393" s="40" t="n"/>
    </row>
    <row r="394">
      <c r="B394" s="40" t="n"/>
      <c r="C394" s="40" t="n"/>
    </row>
    <row r="395">
      <c r="B395" s="40" t="n"/>
      <c r="C395" s="40" t="n"/>
    </row>
    <row r="396">
      <c r="B396" s="40" t="n"/>
      <c r="C396" s="40" t="n"/>
    </row>
    <row r="397">
      <c r="B397" s="40" t="n"/>
      <c r="C397" s="40" t="n"/>
    </row>
    <row r="398">
      <c r="B398" s="40" t="n"/>
      <c r="C398" s="40" t="n"/>
    </row>
    <row r="399">
      <c r="B399" s="40" t="n"/>
      <c r="C399" s="40" t="n"/>
    </row>
    <row r="400">
      <c r="B400" s="40" t="n"/>
      <c r="C400" s="40" t="n"/>
    </row>
    <row r="401">
      <c r="B401" s="40" t="n"/>
      <c r="C401" s="40" t="n"/>
    </row>
    <row r="402">
      <c r="B402" s="40" t="n"/>
      <c r="C402" s="40" t="n"/>
    </row>
    <row r="403">
      <c r="B403" s="40" t="n"/>
      <c r="C403" s="40" t="n"/>
    </row>
    <row r="404">
      <c r="B404" s="40" t="n"/>
      <c r="C404" s="40" t="n"/>
    </row>
    <row r="405">
      <c r="B405" s="40" t="n"/>
      <c r="C405" s="40" t="n"/>
    </row>
    <row r="406">
      <c r="B406" s="40" t="n"/>
      <c r="C406" s="40" t="n"/>
    </row>
    <row r="407">
      <c r="B407" s="40" t="n"/>
      <c r="C407" s="40" t="n"/>
    </row>
    <row r="408">
      <c r="B408" s="40" t="n"/>
      <c r="C408" s="40" t="n"/>
    </row>
    <row r="409">
      <c r="B409" s="40" t="n"/>
      <c r="C409" s="40" t="n"/>
    </row>
    <row r="410">
      <c r="B410" s="40" t="n"/>
      <c r="C410" s="40" t="n"/>
    </row>
    <row r="411">
      <c r="B411" s="40" t="n"/>
      <c r="C411" s="40" t="n"/>
    </row>
    <row r="412">
      <c r="B412" s="40" t="n"/>
      <c r="C412" s="40" t="n"/>
    </row>
    <row r="413">
      <c r="B413" s="40" t="n"/>
      <c r="C413" s="40" t="n"/>
    </row>
    <row r="414">
      <c r="B414" s="40" t="n"/>
      <c r="C414" s="40" t="n"/>
    </row>
    <row r="415">
      <c r="B415" s="40" t="n"/>
      <c r="C415" s="40" t="n"/>
    </row>
    <row r="416">
      <c r="B416" s="40" t="n"/>
      <c r="C416" s="40" t="n"/>
    </row>
    <row r="417">
      <c r="B417" s="40" t="n"/>
      <c r="C417" s="40" t="n"/>
    </row>
    <row r="418">
      <c r="B418" s="40" t="n"/>
      <c r="C418" s="40" t="n"/>
    </row>
    <row r="419">
      <c r="B419" s="40" t="n"/>
      <c r="C419" s="40" t="n"/>
    </row>
    <row r="420">
      <c r="B420" s="40" t="n"/>
      <c r="C420" s="40" t="n"/>
    </row>
    <row r="421">
      <c r="B421" s="40" t="n"/>
      <c r="C421" s="40" t="n"/>
    </row>
    <row r="422">
      <c r="B422" s="40" t="n"/>
      <c r="C422" s="40" t="n"/>
    </row>
    <row r="423">
      <c r="B423" s="40" t="n"/>
      <c r="C423" s="40" t="n"/>
    </row>
    <row r="424">
      <c r="B424" s="40" t="n"/>
      <c r="C424" s="40" t="n"/>
    </row>
    <row r="425">
      <c r="B425" s="40" t="n"/>
      <c r="C425" s="40" t="n"/>
    </row>
    <row r="426">
      <c r="B426" s="40" t="n"/>
      <c r="C426" s="40" t="n"/>
    </row>
    <row r="427">
      <c r="B427" s="40" t="n"/>
      <c r="C427" s="40" t="n"/>
    </row>
    <row r="428">
      <c r="B428" s="40" t="n"/>
      <c r="C428" s="40" t="n"/>
    </row>
    <row r="429">
      <c r="B429" s="40" t="n"/>
      <c r="C429" s="40" t="n"/>
    </row>
    <row r="430">
      <c r="B430" s="40" t="n"/>
      <c r="C430" s="40" t="n"/>
    </row>
    <row r="431">
      <c r="B431" s="40" t="n"/>
      <c r="C431" s="40" t="n"/>
    </row>
    <row r="432">
      <c r="B432" s="40" t="n"/>
      <c r="C432" s="40" t="n"/>
    </row>
    <row r="433">
      <c r="B433" s="40" t="n"/>
      <c r="C433" s="40" t="n"/>
    </row>
    <row r="434">
      <c r="B434" s="40" t="n"/>
      <c r="C434" s="40" t="n"/>
    </row>
    <row r="435">
      <c r="B435" s="40" t="n"/>
      <c r="C435" s="40" t="n"/>
    </row>
    <row r="436">
      <c r="B436" s="40" t="n"/>
      <c r="C436" s="40" t="n"/>
    </row>
    <row r="437">
      <c r="B437" s="40" t="n"/>
      <c r="C437" s="40" t="n"/>
    </row>
    <row r="438">
      <c r="B438" s="40" t="n"/>
      <c r="C438" s="40" t="n"/>
    </row>
    <row r="439">
      <c r="B439" s="40" t="n"/>
      <c r="C439" s="40" t="n"/>
    </row>
    <row r="440">
      <c r="B440" s="40" t="n"/>
      <c r="C440" s="40" t="n"/>
    </row>
    <row r="441">
      <c r="B441" s="40" t="n"/>
      <c r="C441" s="40" t="n"/>
    </row>
    <row r="442">
      <c r="B442" s="40" t="n"/>
      <c r="C442" s="40" t="n"/>
    </row>
    <row r="443">
      <c r="B443" s="40" t="n"/>
      <c r="C443" s="40" t="n"/>
    </row>
    <row r="444">
      <c r="B444" s="40" t="n"/>
      <c r="C444" s="40" t="n"/>
    </row>
    <row r="445">
      <c r="B445" s="40" t="n"/>
      <c r="C445" s="40" t="n"/>
    </row>
    <row r="446">
      <c r="B446" s="40" t="n"/>
      <c r="C446" s="40" t="n"/>
    </row>
    <row r="447">
      <c r="B447" s="40" t="n"/>
      <c r="C447" s="40" t="n"/>
    </row>
    <row r="448">
      <c r="B448" s="40" t="n"/>
      <c r="C448" s="40" t="n"/>
    </row>
    <row r="449">
      <c r="B449" s="40" t="n"/>
      <c r="C449" s="40" t="n"/>
    </row>
    <row r="450">
      <c r="B450" s="40" t="n"/>
      <c r="C450" s="40" t="n"/>
    </row>
    <row r="451">
      <c r="B451" s="40" t="n"/>
      <c r="C451" s="40" t="n"/>
    </row>
    <row r="452">
      <c r="B452" s="40" t="n"/>
      <c r="C452" s="40" t="n"/>
    </row>
    <row r="453">
      <c r="B453" s="40" t="n"/>
      <c r="C453" s="40" t="n"/>
    </row>
    <row r="454">
      <c r="B454" s="40" t="n"/>
      <c r="C454" s="40" t="n"/>
    </row>
    <row r="455">
      <c r="B455" s="40" t="n"/>
      <c r="C455" s="40" t="n"/>
    </row>
    <row r="456">
      <c r="B456" s="40" t="n"/>
      <c r="C456" s="40" t="n"/>
    </row>
    <row r="457">
      <c r="B457" s="40" t="n"/>
      <c r="C457" s="40" t="n"/>
    </row>
    <row r="458">
      <c r="B458" s="40" t="n"/>
      <c r="C458" s="40" t="n"/>
    </row>
    <row r="459">
      <c r="B459" s="40" t="n"/>
      <c r="C459" s="40" t="n"/>
    </row>
    <row r="460">
      <c r="B460" s="40" t="n"/>
      <c r="C460" s="40" t="n"/>
    </row>
    <row r="461">
      <c r="B461" s="40" t="n"/>
      <c r="C461" s="40" t="n"/>
    </row>
    <row r="462">
      <c r="B462" s="40" t="n"/>
      <c r="C462" s="40" t="n"/>
    </row>
    <row r="463">
      <c r="B463" s="40" t="n"/>
      <c r="C463" s="40" t="n"/>
    </row>
    <row r="464">
      <c r="B464" s="40" t="n"/>
      <c r="C464" s="40" t="n"/>
    </row>
    <row r="465">
      <c r="B465" s="40" t="n"/>
      <c r="C465" s="40" t="n"/>
    </row>
    <row r="466">
      <c r="B466" s="40" t="n"/>
      <c r="C466" s="40" t="n"/>
    </row>
    <row r="467">
      <c r="B467" s="40" t="n"/>
      <c r="C467" s="40" t="n"/>
    </row>
    <row r="468">
      <c r="B468" s="40" t="n"/>
      <c r="C468" s="40" t="n"/>
    </row>
    <row r="469">
      <c r="B469" s="40" t="n"/>
      <c r="C469" s="40" t="n"/>
    </row>
    <row r="470">
      <c r="B470" s="40" t="n"/>
      <c r="C470" s="40" t="n"/>
    </row>
    <row r="471">
      <c r="B471" s="40" t="n"/>
      <c r="C471" s="40" t="n"/>
    </row>
    <row r="472">
      <c r="B472" s="40" t="n"/>
      <c r="C472" s="40" t="n"/>
    </row>
    <row r="473">
      <c r="B473" s="40" t="n"/>
      <c r="C473" s="40" t="n"/>
    </row>
    <row r="474">
      <c r="B474" s="40" t="n"/>
      <c r="C474" s="40" t="n"/>
    </row>
    <row r="475">
      <c r="B475" s="40" t="n"/>
      <c r="C475" s="40" t="n"/>
    </row>
    <row r="476">
      <c r="B476" s="40" t="n"/>
      <c r="C476" s="40" t="n"/>
    </row>
    <row r="477">
      <c r="B477" s="40" t="n"/>
      <c r="C477" s="40" t="n"/>
    </row>
    <row r="478">
      <c r="B478" s="40" t="n"/>
      <c r="C478" s="40" t="n"/>
    </row>
    <row r="479">
      <c r="B479" s="40" t="n"/>
      <c r="C479" s="40" t="n"/>
    </row>
    <row r="480">
      <c r="B480" s="40" t="n"/>
      <c r="C480" s="40" t="n"/>
    </row>
    <row r="481">
      <c r="B481" s="40" t="n"/>
      <c r="C481" s="40" t="n"/>
    </row>
    <row r="482">
      <c r="B482" s="40" t="n"/>
      <c r="C482" s="40" t="n"/>
    </row>
    <row r="483">
      <c r="B483" s="40" t="n"/>
      <c r="C483" s="40" t="n"/>
    </row>
    <row r="484">
      <c r="B484" s="40" t="n"/>
      <c r="C484" s="40" t="n"/>
    </row>
    <row r="485">
      <c r="B485" s="40" t="n"/>
      <c r="C485" s="40" t="n"/>
    </row>
    <row r="486">
      <c r="B486" s="40" t="n"/>
      <c r="C486" s="40" t="n"/>
    </row>
    <row r="487">
      <c r="B487" s="40" t="n"/>
      <c r="C487" s="40" t="n"/>
    </row>
    <row r="488">
      <c r="B488" s="40" t="n"/>
      <c r="C488" s="40" t="n"/>
    </row>
    <row r="489">
      <c r="B489" s="40" t="n"/>
      <c r="C489" s="40" t="n"/>
    </row>
    <row r="490">
      <c r="B490" s="40" t="n"/>
      <c r="C490" s="40" t="n"/>
    </row>
    <row r="491">
      <c r="B491" s="40" t="n"/>
      <c r="C491" s="40" t="n"/>
    </row>
    <row r="492">
      <c r="B492" s="40" t="n"/>
      <c r="C492" s="40" t="n"/>
    </row>
    <row r="493">
      <c r="B493" s="40" t="n"/>
      <c r="C493" s="40" t="n"/>
    </row>
    <row r="494">
      <c r="B494" s="40" t="n"/>
      <c r="C494" s="40" t="n"/>
    </row>
    <row r="495">
      <c r="B495" s="40" t="n"/>
      <c r="C495" s="40" t="n"/>
    </row>
    <row r="496">
      <c r="B496" s="40" t="n"/>
      <c r="C496" s="40" t="n"/>
    </row>
    <row r="497">
      <c r="B497" s="40" t="n"/>
      <c r="C497" s="40" t="n"/>
    </row>
    <row r="498">
      <c r="B498" s="40" t="n"/>
      <c r="C498" s="40" t="n"/>
    </row>
    <row r="499">
      <c r="B499" s="40" t="n"/>
      <c r="C499" s="40" t="n"/>
    </row>
    <row r="500">
      <c r="B500" s="40" t="n"/>
      <c r="C500" s="40" t="n"/>
    </row>
    <row r="501">
      <c r="B501" s="40" t="n"/>
      <c r="C501" s="40" t="n"/>
    </row>
    <row r="502">
      <c r="B502" s="40" t="n"/>
      <c r="C502" s="40" t="n"/>
    </row>
    <row r="503">
      <c r="B503" s="40" t="n"/>
      <c r="C503" s="40" t="n"/>
    </row>
    <row r="504">
      <c r="B504" s="40" t="n"/>
      <c r="C504" s="40" t="n"/>
    </row>
    <row r="505">
      <c r="B505" s="40" t="n"/>
      <c r="C505" s="40" t="n"/>
    </row>
    <row r="506">
      <c r="B506" s="40" t="n"/>
      <c r="C506" s="40" t="n"/>
    </row>
    <row r="507">
      <c r="B507" s="40" t="n"/>
      <c r="C507" s="40" t="n"/>
    </row>
    <row r="508">
      <c r="B508" s="40" t="n"/>
      <c r="C508" s="40" t="n"/>
    </row>
    <row r="509">
      <c r="B509" s="40" t="n"/>
      <c r="C509" s="40" t="n"/>
    </row>
    <row r="510">
      <c r="B510" s="40" t="n"/>
      <c r="C510" s="40" t="n"/>
    </row>
    <row r="511">
      <c r="B511" s="40" t="n"/>
      <c r="C511" s="40" t="n"/>
    </row>
    <row r="512">
      <c r="B512" s="40" t="n"/>
      <c r="C512" s="40" t="n"/>
    </row>
    <row r="513">
      <c r="B513" s="40" t="n"/>
      <c r="C513" s="40" t="n"/>
    </row>
    <row r="514">
      <c r="B514" s="40" t="n"/>
      <c r="C514" s="40" t="n"/>
    </row>
    <row r="515">
      <c r="B515" s="40" t="n"/>
      <c r="C515" s="40" t="n"/>
    </row>
    <row r="516">
      <c r="B516" s="40" t="n"/>
      <c r="C516" s="40" t="n"/>
    </row>
    <row r="517">
      <c r="B517" s="40" t="n"/>
      <c r="C517" s="40" t="n"/>
    </row>
    <row r="518">
      <c r="B518" s="40" t="n"/>
      <c r="C518" s="40" t="n"/>
    </row>
    <row r="519">
      <c r="B519" s="40" t="n"/>
      <c r="C519" s="40" t="n"/>
    </row>
    <row r="520">
      <c r="B520" s="40" t="n"/>
      <c r="C520" s="40" t="n"/>
    </row>
    <row r="521">
      <c r="B521" s="40" t="n"/>
      <c r="C521" s="40" t="n"/>
    </row>
    <row r="522">
      <c r="B522" s="40" t="n"/>
      <c r="C522" s="40" t="n"/>
    </row>
    <row r="523">
      <c r="B523" s="40" t="n"/>
      <c r="C523" s="40" t="n"/>
    </row>
    <row r="524">
      <c r="B524" s="40" t="n"/>
      <c r="C524" s="40" t="n"/>
    </row>
    <row r="525">
      <c r="B525" s="40" t="n"/>
      <c r="C525" s="40" t="n"/>
    </row>
    <row r="526">
      <c r="B526" s="40" t="n"/>
      <c r="C526" s="40" t="n"/>
    </row>
    <row r="527">
      <c r="B527" s="40" t="n"/>
      <c r="C527" s="40" t="n"/>
    </row>
    <row r="528">
      <c r="B528" s="40" t="n"/>
      <c r="C528" s="40" t="n"/>
    </row>
    <row r="529">
      <c r="B529" s="40" t="n"/>
      <c r="C529" s="40" t="n"/>
    </row>
    <row r="530">
      <c r="B530" s="40" t="n"/>
      <c r="C530" s="40" t="n"/>
    </row>
    <row r="531">
      <c r="B531" s="40" t="n"/>
      <c r="C531" s="40" t="n"/>
    </row>
    <row r="532">
      <c r="B532" s="40" t="n"/>
      <c r="C532" s="40" t="n"/>
    </row>
    <row r="533">
      <c r="B533" s="40" t="n"/>
      <c r="C533" s="40" t="n"/>
    </row>
    <row r="534">
      <c r="B534" s="40" t="n"/>
      <c r="C534" s="40" t="n"/>
    </row>
    <row r="535">
      <c r="B535" s="40" t="n"/>
      <c r="C535" s="40" t="n"/>
    </row>
    <row r="536">
      <c r="B536" s="40" t="n"/>
      <c r="C536" s="40" t="n"/>
    </row>
    <row r="537">
      <c r="B537" s="40" t="n"/>
      <c r="C537" s="40" t="n"/>
    </row>
    <row r="538">
      <c r="B538" s="40" t="n"/>
      <c r="C538" s="40" t="n"/>
    </row>
    <row r="539">
      <c r="B539" s="40" t="n"/>
      <c r="C539" s="40" t="n"/>
    </row>
    <row r="540">
      <c r="B540" s="40" t="n"/>
      <c r="C540" s="40" t="n"/>
    </row>
    <row r="541">
      <c r="B541" s="40" t="n"/>
      <c r="C541" s="40" t="n"/>
    </row>
    <row r="542">
      <c r="B542" s="40" t="n"/>
      <c r="C542" s="40" t="n"/>
    </row>
    <row r="543">
      <c r="B543" s="40" t="n"/>
      <c r="C543" s="40" t="n"/>
    </row>
    <row r="544">
      <c r="B544" s="40" t="n"/>
      <c r="C544" s="40" t="n"/>
    </row>
    <row r="545">
      <c r="B545" s="40" t="n"/>
      <c r="C545" s="40" t="n"/>
    </row>
    <row r="546">
      <c r="B546" s="40" t="n"/>
      <c r="C546" s="40" t="n"/>
    </row>
    <row r="547">
      <c r="B547" s="40" t="n"/>
      <c r="C547" s="40" t="n"/>
    </row>
    <row r="548">
      <c r="B548" s="40" t="n"/>
      <c r="C548" s="40" t="n"/>
    </row>
    <row r="549">
      <c r="B549" s="40" t="n"/>
      <c r="C549" s="40" t="n"/>
    </row>
    <row r="550">
      <c r="B550" s="40" t="n"/>
      <c r="C550" s="40" t="n"/>
    </row>
    <row r="551">
      <c r="B551" s="40" t="n"/>
      <c r="C551" s="40" t="n"/>
    </row>
    <row r="552">
      <c r="B552" s="40" t="n"/>
      <c r="C552" s="40" t="n"/>
    </row>
    <row r="553">
      <c r="B553" s="40" t="n"/>
      <c r="C553" s="40" t="n"/>
    </row>
    <row r="554">
      <c r="B554" s="40" t="n"/>
      <c r="C554" s="40" t="n"/>
    </row>
    <row r="555">
      <c r="B555" s="40" t="n"/>
      <c r="C555" s="40" t="n"/>
    </row>
    <row r="556">
      <c r="B556" s="40" t="n"/>
      <c r="C556" s="40" t="n"/>
    </row>
    <row r="557">
      <c r="B557" s="40" t="n"/>
      <c r="C557" s="40" t="n"/>
    </row>
    <row r="558">
      <c r="B558" s="40" t="n"/>
      <c r="C558" s="40" t="n"/>
    </row>
    <row r="559">
      <c r="B559" s="40" t="n"/>
      <c r="C559" s="40" t="n"/>
    </row>
    <row r="560">
      <c r="B560" s="40" t="n"/>
      <c r="C560" s="40" t="n"/>
    </row>
    <row r="561">
      <c r="B561" s="40" t="n"/>
      <c r="C561" s="40" t="n"/>
    </row>
    <row r="562">
      <c r="B562" s="40" t="n"/>
      <c r="C562" s="40" t="n"/>
    </row>
    <row r="563">
      <c r="B563" s="40" t="n"/>
      <c r="C563" s="40" t="n"/>
    </row>
    <row r="564">
      <c r="B564" s="40" t="n"/>
      <c r="C564" s="40" t="n"/>
    </row>
    <row r="565">
      <c r="B565" s="40" t="n"/>
      <c r="C565" s="40" t="n"/>
    </row>
    <row r="566">
      <c r="B566" s="40" t="n"/>
      <c r="C566" s="40" t="n"/>
    </row>
    <row r="567">
      <c r="B567" s="40" t="n"/>
      <c r="C567" s="40" t="n"/>
    </row>
    <row r="568">
      <c r="B568" s="40" t="n"/>
      <c r="C568" s="40" t="n"/>
    </row>
    <row r="569">
      <c r="B569" s="40" t="n"/>
      <c r="C569" s="40" t="n"/>
    </row>
    <row r="570">
      <c r="B570" s="40" t="n"/>
      <c r="C570" s="40" t="n"/>
    </row>
    <row r="571">
      <c r="B571" s="40" t="n"/>
      <c r="C571" s="40" t="n"/>
    </row>
    <row r="572">
      <c r="B572" s="40" t="n"/>
      <c r="C572" s="40" t="n"/>
    </row>
    <row r="573">
      <c r="B573" s="40" t="n"/>
      <c r="C573" s="40" t="n"/>
    </row>
    <row r="574">
      <c r="B574" s="40" t="n"/>
      <c r="C574" s="40" t="n"/>
    </row>
    <row r="575">
      <c r="B575" s="40" t="n"/>
      <c r="C575" s="40" t="n"/>
    </row>
    <row r="576">
      <c r="B576" s="40" t="n"/>
      <c r="C576" s="40" t="n"/>
    </row>
    <row r="577">
      <c r="B577" s="40" t="n"/>
      <c r="C577" s="40" t="n"/>
    </row>
    <row r="578">
      <c r="B578" s="40" t="n"/>
      <c r="C578" s="40" t="n"/>
    </row>
    <row r="579">
      <c r="B579" s="40" t="n"/>
      <c r="C579" s="40" t="n"/>
    </row>
    <row r="580">
      <c r="B580" s="40" t="n"/>
      <c r="C580" s="40" t="n"/>
    </row>
    <row r="581">
      <c r="B581" s="40" t="n"/>
      <c r="C581" s="40" t="n"/>
    </row>
    <row r="582">
      <c r="B582" s="40" t="n"/>
      <c r="C582" s="40" t="n"/>
    </row>
    <row r="583">
      <c r="B583" s="40" t="n"/>
      <c r="C583" s="40" t="n"/>
    </row>
    <row r="584">
      <c r="B584" s="40" t="n"/>
      <c r="C584" s="40" t="n"/>
    </row>
    <row r="585">
      <c r="B585" s="40" t="n"/>
      <c r="C585" s="40" t="n"/>
    </row>
    <row r="586">
      <c r="B586" s="40" t="n"/>
      <c r="C586" s="40" t="n"/>
    </row>
    <row r="587">
      <c r="B587" s="40" t="n"/>
      <c r="C587" s="40" t="n"/>
    </row>
    <row r="588">
      <c r="B588" s="40" t="n"/>
      <c r="C588" s="40" t="n"/>
    </row>
    <row r="589">
      <c r="B589" s="40" t="n"/>
      <c r="C589" s="40" t="n"/>
    </row>
    <row r="590">
      <c r="B590" s="40" t="n"/>
      <c r="C590" s="40" t="n"/>
    </row>
    <row r="591">
      <c r="B591" s="40" t="n"/>
      <c r="C591" s="40" t="n"/>
    </row>
    <row r="592">
      <c r="B592" s="40" t="n"/>
      <c r="C592" s="40" t="n"/>
    </row>
    <row r="593">
      <c r="B593" s="40" t="n"/>
      <c r="C593" s="40" t="n"/>
    </row>
    <row r="594">
      <c r="B594" s="40" t="n"/>
      <c r="C594" s="40" t="n"/>
    </row>
    <row r="595">
      <c r="B595" s="40" t="n"/>
      <c r="C595" s="40" t="n"/>
    </row>
    <row r="596">
      <c r="B596" s="40" t="n"/>
      <c r="C596" s="40" t="n"/>
    </row>
    <row r="597">
      <c r="B597" s="40" t="n"/>
      <c r="C597" s="40" t="n"/>
    </row>
    <row r="598">
      <c r="B598" s="40" t="n"/>
      <c r="C598" s="40" t="n"/>
    </row>
    <row r="599">
      <c r="B599" s="40" t="n"/>
      <c r="C599" s="40" t="n"/>
    </row>
    <row r="600">
      <c r="B600" s="40" t="n"/>
      <c r="C600" s="40" t="n"/>
    </row>
    <row r="601">
      <c r="B601" s="40" t="n"/>
      <c r="C601" s="40" t="n"/>
    </row>
    <row r="602">
      <c r="B602" s="40" t="n"/>
      <c r="C602" s="40" t="n"/>
    </row>
    <row r="603">
      <c r="B603" s="40" t="n"/>
      <c r="C603" s="40" t="n"/>
    </row>
    <row r="604">
      <c r="B604" s="40" t="n"/>
      <c r="C604" s="40" t="n"/>
    </row>
    <row r="605">
      <c r="B605" s="40" t="n"/>
      <c r="C605" s="40" t="n"/>
    </row>
    <row r="606">
      <c r="B606" s="40" t="n"/>
      <c r="C606" s="40" t="n"/>
    </row>
    <row r="607">
      <c r="B607" s="40" t="n"/>
      <c r="C607" s="40" t="n"/>
    </row>
    <row r="608">
      <c r="B608" s="40" t="n"/>
      <c r="C608" s="40" t="n"/>
    </row>
    <row r="609">
      <c r="B609" s="40" t="n"/>
      <c r="C609" s="40" t="n"/>
    </row>
    <row r="610">
      <c r="B610" s="40" t="n"/>
      <c r="C610" s="40" t="n"/>
    </row>
    <row r="611">
      <c r="B611" s="40" t="n"/>
      <c r="C611" s="40" t="n"/>
    </row>
    <row r="612">
      <c r="B612" s="40" t="n"/>
      <c r="C612" s="40" t="n"/>
    </row>
    <row r="613">
      <c r="B613" s="40" t="n"/>
      <c r="C613" s="40" t="n"/>
    </row>
    <row r="614">
      <c r="B614" s="40" t="n"/>
      <c r="C614" s="40" t="n"/>
    </row>
    <row r="615">
      <c r="B615" s="40" t="n"/>
      <c r="C615" s="40" t="n"/>
    </row>
    <row r="616">
      <c r="B616" s="40" t="n"/>
      <c r="C616" s="40" t="n"/>
    </row>
    <row r="617">
      <c r="B617" s="40" t="n"/>
      <c r="C617" s="40" t="n"/>
    </row>
    <row r="618">
      <c r="B618" s="40" t="n"/>
      <c r="C618" s="40" t="n"/>
    </row>
    <row r="619">
      <c r="B619" s="40" t="n"/>
      <c r="C619" s="40" t="n"/>
    </row>
    <row r="620">
      <c r="B620" s="40" t="n"/>
      <c r="C620" s="40" t="n"/>
    </row>
    <row r="621">
      <c r="B621" s="40" t="n"/>
      <c r="C621" s="40" t="n"/>
    </row>
    <row r="622">
      <c r="B622" s="40" t="n"/>
      <c r="C622" s="40" t="n"/>
    </row>
    <row r="623">
      <c r="B623" s="40" t="n"/>
      <c r="C623" s="40" t="n"/>
    </row>
    <row r="624">
      <c r="B624" s="40" t="n"/>
      <c r="C624" s="40" t="n"/>
    </row>
    <row r="625">
      <c r="B625" s="40" t="n"/>
      <c r="C625" s="40" t="n"/>
    </row>
    <row r="626">
      <c r="B626" s="40" t="n"/>
      <c r="C626" s="40" t="n"/>
    </row>
    <row r="627">
      <c r="B627" s="40" t="n"/>
      <c r="C627" s="40" t="n"/>
    </row>
    <row r="628">
      <c r="B628" s="40" t="n"/>
      <c r="C628" s="40" t="n"/>
    </row>
    <row r="629">
      <c r="B629" s="40" t="n"/>
      <c r="C629" s="40" t="n"/>
    </row>
    <row r="630">
      <c r="B630" s="40" t="n"/>
      <c r="C630" s="40" t="n"/>
    </row>
    <row r="631">
      <c r="B631" s="40" t="n"/>
      <c r="C631" s="40" t="n"/>
    </row>
    <row r="632">
      <c r="B632" s="40" t="n"/>
      <c r="C632" s="40" t="n"/>
    </row>
    <row r="633">
      <c r="B633" s="40" t="n"/>
      <c r="C633" s="40" t="n"/>
    </row>
    <row r="634">
      <c r="B634" s="40" t="n"/>
      <c r="C634" s="40" t="n"/>
    </row>
    <row r="635">
      <c r="B635" s="40" t="n"/>
      <c r="C635" s="40" t="n"/>
    </row>
    <row r="636">
      <c r="B636" s="40" t="n"/>
      <c r="C636" s="40" t="n"/>
    </row>
    <row r="637">
      <c r="B637" s="40" t="n"/>
      <c r="C637" s="40" t="n"/>
    </row>
    <row r="638">
      <c r="B638" s="40" t="n"/>
      <c r="C638" s="40" t="n"/>
    </row>
    <row r="639">
      <c r="B639" s="40" t="n"/>
      <c r="C639" s="40" t="n"/>
    </row>
    <row r="640">
      <c r="B640" s="40" t="n"/>
      <c r="C640" s="40" t="n"/>
    </row>
    <row r="641">
      <c r="B641" s="40" t="n"/>
      <c r="C641" s="40" t="n"/>
    </row>
    <row r="642">
      <c r="B642" s="40" t="n"/>
      <c r="C642" s="40" t="n"/>
    </row>
    <row r="643">
      <c r="B643" s="40" t="n"/>
      <c r="C643" s="40" t="n"/>
    </row>
    <row r="644">
      <c r="B644" s="40" t="n"/>
      <c r="C644" s="40" t="n"/>
    </row>
    <row r="645">
      <c r="B645" s="40" t="n"/>
      <c r="C645" s="40" t="n"/>
    </row>
    <row r="646">
      <c r="B646" s="40" t="n"/>
      <c r="C646" s="40" t="n"/>
    </row>
    <row r="647">
      <c r="B647" s="40" t="n"/>
      <c r="C647" s="40" t="n"/>
    </row>
    <row r="648">
      <c r="B648" s="40" t="n"/>
      <c r="C648" s="40" t="n"/>
    </row>
    <row r="649">
      <c r="B649" s="40" t="n"/>
      <c r="C649" s="40" t="n"/>
    </row>
    <row r="650">
      <c r="B650" s="40" t="n"/>
      <c r="C650" s="40" t="n"/>
    </row>
    <row r="651">
      <c r="B651" s="40" t="n"/>
      <c r="C651" s="40" t="n"/>
    </row>
    <row r="652">
      <c r="B652" s="40" t="n"/>
      <c r="C652" s="40" t="n"/>
    </row>
    <row r="653">
      <c r="B653" s="40" t="n"/>
      <c r="C653" s="40" t="n"/>
    </row>
    <row r="654">
      <c r="B654" s="40" t="n"/>
      <c r="C654" s="40" t="n"/>
    </row>
    <row r="655">
      <c r="B655" s="40" t="n"/>
      <c r="C655" s="40" t="n"/>
    </row>
    <row r="656">
      <c r="B656" s="40" t="n"/>
      <c r="C656" s="40" t="n"/>
    </row>
    <row r="657">
      <c r="B657" s="40" t="n"/>
      <c r="C657" s="40" t="n"/>
    </row>
    <row r="658">
      <c r="B658" s="40" t="n"/>
      <c r="C658" s="40" t="n"/>
    </row>
    <row r="659">
      <c r="B659" s="40" t="n"/>
      <c r="C659" s="40" t="n"/>
    </row>
    <row r="660">
      <c r="B660" s="40" t="n"/>
      <c r="C660" s="40" t="n"/>
    </row>
    <row r="661">
      <c r="B661" s="40" t="n"/>
      <c r="C661" s="40" t="n"/>
    </row>
    <row r="662">
      <c r="B662" s="40" t="n"/>
      <c r="C662" s="40" t="n"/>
    </row>
    <row r="663">
      <c r="B663" s="40" t="n"/>
      <c r="C663" s="40" t="n"/>
    </row>
    <row r="664">
      <c r="B664" s="40" t="n"/>
      <c r="C664" s="40" t="n"/>
    </row>
    <row r="665">
      <c r="B665" s="40" t="n"/>
      <c r="C665" s="40" t="n"/>
    </row>
    <row r="666">
      <c r="B666" s="40" t="n"/>
      <c r="C666" s="40" t="n"/>
    </row>
    <row r="667">
      <c r="B667" s="40" t="n"/>
      <c r="C667" s="40" t="n"/>
    </row>
    <row r="668">
      <c r="B668" s="40" t="n"/>
      <c r="C668" s="40" t="n"/>
    </row>
    <row r="669">
      <c r="B669" s="40" t="n"/>
      <c r="C669" s="40" t="n"/>
    </row>
    <row r="670">
      <c r="B670" s="40" t="n"/>
      <c r="C670" s="40" t="n"/>
    </row>
    <row r="671">
      <c r="B671" s="40" t="n"/>
      <c r="C671" s="40" t="n"/>
    </row>
    <row r="672">
      <c r="B672" s="40" t="n"/>
      <c r="C672" s="40" t="n"/>
    </row>
    <row r="673">
      <c r="B673" s="40" t="n"/>
      <c r="C673" s="40" t="n"/>
    </row>
    <row r="674">
      <c r="B674" s="40" t="n"/>
      <c r="C674" s="40" t="n"/>
    </row>
    <row r="675">
      <c r="B675" s="40" t="n"/>
      <c r="C675" s="40" t="n"/>
    </row>
    <row r="676">
      <c r="B676" s="40" t="n"/>
      <c r="C676" s="40" t="n"/>
    </row>
    <row r="677">
      <c r="B677" s="40" t="n"/>
      <c r="C677" s="40" t="n"/>
    </row>
    <row r="678">
      <c r="B678" s="40" t="n"/>
      <c r="C678" s="40" t="n"/>
    </row>
    <row r="679">
      <c r="B679" s="40" t="n"/>
      <c r="C679" s="40" t="n"/>
    </row>
    <row r="680">
      <c r="B680" s="40" t="n"/>
      <c r="C680" s="40" t="n"/>
    </row>
    <row r="681">
      <c r="B681" s="40" t="n"/>
      <c r="C681" s="40" t="n"/>
    </row>
    <row r="682">
      <c r="B682" s="40" t="n"/>
      <c r="C682" s="40" t="n"/>
    </row>
    <row r="683">
      <c r="B683" s="40" t="n"/>
      <c r="C683" s="40" t="n"/>
    </row>
    <row r="684">
      <c r="B684" s="40" t="n"/>
      <c r="C684" s="40" t="n"/>
    </row>
    <row r="685">
      <c r="B685" s="40" t="n"/>
      <c r="C685" s="40" t="n"/>
    </row>
    <row r="686">
      <c r="B686" s="40" t="n"/>
      <c r="C686" s="40" t="n"/>
    </row>
    <row r="687">
      <c r="B687" s="40" t="n"/>
      <c r="C687" s="40" t="n"/>
    </row>
    <row r="688">
      <c r="B688" s="40" t="n"/>
      <c r="C688" s="40" t="n"/>
    </row>
    <row r="689">
      <c r="B689" s="40" t="n"/>
      <c r="C689" s="40" t="n"/>
    </row>
    <row r="690">
      <c r="B690" s="40" t="n"/>
      <c r="C690" s="40" t="n"/>
    </row>
    <row r="691">
      <c r="B691" s="40" t="n"/>
      <c r="C691" s="40" t="n"/>
    </row>
    <row r="692">
      <c r="B692" s="40" t="n"/>
      <c r="C692" s="40" t="n"/>
    </row>
    <row r="693">
      <c r="B693" s="40" t="n"/>
      <c r="C693" s="40" t="n"/>
    </row>
    <row r="694">
      <c r="B694" s="40" t="n"/>
      <c r="C694" s="40" t="n"/>
    </row>
    <row r="695">
      <c r="B695" s="40" t="n"/>
      <c r="C695" s="40" t="n"/>
    </row>
    <row r="696">
      <c r="B696" s="40" t="n"/>
      <c r="C696" s="40" t="n"/>
    </row>
    <row r="697">
      <c r="B697" s="40" t="n"/>
      <c r="C697" s="40" t="n"/>
    </row>
    <row r="698">
      <c r="B698" s="40" t="n"/>
      <c r="C698" s="40" t="n"/>
    </row>
    <row r="699">
      <c r="B699" s="40" t="n"/>
      <c r="C699" s="40" t="n"/>
    </row>
    <row r="700">
      <c r="B700" s="40" t="n"/>
      <c r="C700" s="40" t="n"/>
    </row>
    <row r="701">
      <c r="B701" s="40" t="n"/>
      <c r="C701" s="40" t="n"/>
    </row>
    <row r="702">
      <c r="B702" s="40" t="n"/>
      <c r="C702" s="40" t="n"/>
    </row>
    <row r="703">
      <c r="B703" s="40" t="n"/>
      <c r="C703" s="40" t="n"/>
    </row>
    <row r="704">
      <c r="B704" s="40" t="n"/>
      <c r="C704" s="40" t="n"/>
    </row>
    <row r="705">
      <c r="B705" s="40" t="n"/>
      <c r="C705" s="40" t="n"/>
    </row>
    <row r="706">
      <c r="B706" s="40" t="n"/>
      <c r="C706" s="40" t="n"/>
    </row>
    <row r="707">
      <c r="B707" s="40" t="n"/>
      <c r="C707" s="40" t="n"/>
    </row>
    <row r="708">
      <c r="B708" s="40" t="n"/>
      <c r="C708" s="40" t="n"/>
    </row>
    <row r="709">
      <c r="B709" s="40" t="n"/>
      <c r="C709" s="40" t="n"/>
    </row>
    <row r="710">
      <c r="B710" s="40" t="n"/>
      <c r="C710" s="40" t="n"/>
    </row>
    <row r="711">
      <c r="B711" s="40" t="n"/>
      <c r="C711" s="40" t="n"/>
    </row>
    <row r="712">
      <c r="B712" s="40" t="n"/>
      <c r="C712" s="40" t="n"/>
    </row>
    <row r="713">
      <c r="B713" s="40" t="n"/>
      <c r="C713" s="40" t="n"/>
    </row>
    <row r="714">
      <c r="B714" s="40" t="n"/>
      <c r="C714" s="40" t="n"/>
    </row>
    <row r="715">
      <c r="B715" s="40" t="n"/>
      <c r="C715" s="40" t="n"/>
    </row>
    <row r="716">
      <c r="B716" s="40" t="n"/>
      <c r="C716" s="40" t="n"/>
    </row>
    <row r="717">
      <c r="B717" s="40" t="n"/>
      <c r="C717" s="40" t="n"/>
    </row>
    <row r="718">
      <c r="B718" s="40" t="n"/>
      <c r="C718" s="40" t="n"/>
    </row>
    <row r="719">
      <c r="B719" s="40" t="n"/>
      <c r="C719" s="40" t="n"/>
    </row>
    <row r="720">
      <c r="B720" s="40" t="n"/>
      <c r="C720" s="40" t="n"/>
    </row>
    <row r="721">
      <c r="B721" s="40" t="n"/>
      <c r="C721" s="40" t="n"/>
    </row>
    <row r="722">
      <c r="B722" s="40" t="n"/>
      <c r="C722" s="40" t="n"/>
    </row>
    <row r="723">
      <c r="B723" s="40" t="n"/>
      <c r="C723" s="40" t="n"/>
    </row>
    <row r="724">
      <c r="B724" s="40" t="n"/>
      <c r="C724" s="40" t="n"/>
    </row>
    <row r="725">
      <c r="B725" s="40" t="n"/>
      <c r="C725" s="40" t="n"/>
    </row>
    <row r="726">
      <c r="B726" s="40" t="n"/>
      <c r="C726" s="40" t="n"/>
    </row>
    <row r="727">
      <c r="B727" s="40" t="n"/>
      <c r="C727" s="40" t="n"/>
    </row>
    <row r="728">
      <c r="B728" s="40" t="n"/>
      <c r="C728" s="40" t="n"/>
    </row>
    <row r="729">
      <c r="B729" s="40" t="n"/>
      <c r="C729" s="40" t="n"/>
    </row>
    <row r="730">
      <c r="B730" s="40" t="n"/>
      <c r="C730" s="40" t="n"/>
    </row>
    <row r="731">
      <c r="B731" s="40" t="n"/>
      <c r="C731" s="40" t="n"/>
    </row>
    <row r="732">
      <c r="B732" s="40" t="n"/>
      <c r="C732" s="40" t="n"/>
    </row>
    <row r="733">
      <c r="B733" s="40" t="n"/>
      <c r="C733" s="40" t="n"/>
    </row>
    <row r="734">
      <c r="B734" s="40" t="n"/>
      <c r="C734" s="40" t="n"/>
    </row>
    <row r="735">
      <c r="B735" s="40" t="n"/>
      <c r="C735" s="40" t="n"/>
    </row>
    <row r="736">
      <c r="B736" s="40" t="n"/>
      <c r="C736" s="40" t="n"/>
    </row>
    <row r="737">
      <c r="B737" s="40" t="n"/>
      <c r="C737" s="40" t="n"/>
    </row>
    <row r="738">
      <c r="B738" s="40" t="n"/>
      <c r="C738" s="40" t="n"/>
    </row>
    <row r="739">
      <c r="B739" s="40" t="n"/>
      <c r="C739" s="40" t="n"/>
    </row>
    <row r="740">
      <c r="B740" s="40" t="n"/>
      <c r="C740" s="40" t="n"/>
    </row>
    <row r="741">
      <c r="B741" s="40" t="n"/>
      <c r="C741" s="40" t="n"/>
    </row>
    <row r="742">
      <c r="B742" s="40" t="n"/>
      <c r="C742" s="40" t="n"/>
    </row>
    <row r="743">
      <c r="B743" s="40" t="n"/>
      <c r="C743" s="40" t="n"/>
    </row>
    <row r="744">
      <c r="B744" s="40" t="n"/>
      <c r="C744" s="40" t="n"/>
    </row>
    <row r="745">
      <c r="B745" s="40" t="n"/>
      <c r="C745" s="40" t="n"/>
    </row>
    <row r="746">
      <c r="B746" s="40" t="n"/>
      <c r="C746" s="40" t="n"/>
    </row>
    <row r="747">
      <c r="B747" s="40" t="n"/>
      <c r="C747" s="40" t="n"/>
    </row>
    <row r="748">
      <c r="B748" s="40" t="n"/>
      <c r="C748" s="40" t="n"/>
    </row>
    <row r="749">
      <c r="B749" s="40" t="n"/>
      <c r="C749" s="40" t="n"/>
    </row>
    <row r="750">
      <c r="B750" s="40" t="n"/>
      <c r="C750" s="40" t="n"/>
    </row>
    <row r="751">
      <c r="B751" s="40" t="n"/>
      <c r="C751" s="40" t="n"/>
    </row>
    <row r="752">
      <c r="B752" s="40" t="n"/>
      <c r="C752" s="40" t="n"/>
    </row>
    <row r="753">
      <c r="B753" s="40" t="n"/>
      <c r="C753" s="40" t="n"/>
    </row>
    <row r="754">
      <c r="B754" s="40" t="n"/>
      <c r="C754" s="40" t="n"/>
    </row>
    <row r="755">
      <c r="B755" s="40" t="n"/>
      <c r="C755" s="40" t="n"/>
    </row>
    <row r="756">
      <c r="B756" s="40" t="n"/>
      <c r="C756" s="40" t="n"/>
    </row>
    <row r="757">
      <c r="B757" s="40" t="n"/>
      <c r="C757" s="40" t="n"/>
    </row>
    <row r="758">
      <c r="B758" s="40" t="n"/>
      <c r="C758" s="40" t="n"/>
    </row>
    <row r="759">
      <c r="B759" s="40" t="n"/>
      <c r="C759" s="40" t="n"/>
    </row>
    <row r="760">
      <c r="B760" s="40" t="n"/>
      <c r="C760" s="40" t="n"/>
    </row>
    <row r="761">
      <c r="B761" s="40" t="n"/>
      <c r="C761" s="40" t="n"/>
    </row>
    <row r="762">
      <c r="B762" s="40" t="n"/>
      <c r="C762" s="40" t="n"/>
    </row>
    <row r="763">
      <c r="B763" s="40" t="n"/>
      <c r="C763" s="40" t="n"/>
    </row>
    <row r="764">
      <c r="B764" s="40" t="n"/>
      <c r="C764" s="40" t="n"/>
    </row>
    <row r="765">
      <c r="B765" s="40" t="n"/>
      <c r="C765" s="40" t="n"/>
    </row>
    <row r="766">
      <c r="B766" s="40" t="n"/>
      <c r="C766" s="40" t="n"/>
    </row>
    <row r="767">
      <c r="B767" s="40" t="n"/>
      <c r="C767" s="40" t="n"/>
    </row>
    <row r="768">
      <c r="B768" s="40" t="n"/>
      <c r="C768" s="40" t="n"/>
    </row>
    <row r="769">
      <c r="B769" s="40" t="n"/>
      <c r="C769" s="40" t="n"/>
    </row>
    <row r="770">
      <c r="B770" s="40" t="n"/>
      <c r="C770" s="40" t="n"/>
    </row>
    <row r="771">
      <c r="B771" s="40" t="n"/>
      <c r="C771" s="40" t="n"/>
    </row>
    <row r="772">
      <c r="B772" s="40" t="n"/>
      <c r="C772" s="40" t="n"/>
    </row>
    <row r="773">
      <c r="B773" s="40" t="n"/>
      <c r="C773" s="40" t="n"/>
    </row>
    <row r="774">
      <c r="B774" s="40" t="n"/>
      <c r="C774" s="40" t="n"/>
    </row>
    <row r="775">
      <c r="B775" s="40" t="n"/>
      <c r="C775" s="40" t="n"/>
    </row>
    <row r="776">
      <c r="B776" s="40" t="n"/>
      <c r="C776" s="40" t="n"/>
    </row>
    <row r="777">
      <c r="B777" s="40" t="n"/>
      <c r="C777" s="40" t="n"/>
    </row>
    <row r="778">
      <c r="B778" s="40" t="n"/>
      <c r="C778" s="40" t="n"/>
    </row>
    <row r="779">
      <c r="B779" s="40" t="n"/>
      <c r="C779" s="40" t="n"/>
    </row>
    <row r="780">
      <c r="B780" s="40" t="n"/>
      <c r="C780" s="40" t="n"/>
    </row>
    <row r="781">
      <c r="B781" s="40" t="n"/>
      <c r="C781" s="40" t="n"/>
    </row>
    <row r="782">
      <c r="B782" s="40" t="n"/>
      <c r="C782" s="40" t="n"/>
    </row>
    <row r="783">
      <c r="B783" s="40" t="n"/>
      <c r="C783" s="40" t="n"/>
    </row>
    <row r="784">
      <c r="B784" s="40" t="n"/>
      <c r="C784" s="40" t="n"/>
    </row>
    <row r="785">
      <c r="B785" s="40" t="n"/>
      <c r="C785" s="40" t="n"/>
    </row>
    <row r="786">
      <c r="B786" s="40" t="n"/>
      <c r="C786" s="40" t="n"/>
    </row>
    <row r="787">
      <c r="B787" s="40" t="n"/>
      <c r="C787" s="40" t="n"/>
    </row>
    <row r="788">
      <c r="B788" s="40" t="n"/>
      <c r="C788" s="40" t="n"/>
    </row>
    <row r="789">
      <c r="B789" s="40" t="n"/>
      <c r="C789" s="40" t="n"/>
    </row>
    <row r="790">
      <c r="B790" s="40" t="n"/>
      <c r="C790" s="40" t="n"/>
    </row>
    <row r="791">
      <c r="B791" s="40" t="n"/>
      <c r="C791" s="40" t="n"/>
    </row>
    <row r="792">
      <c r="B792" s="40" t="n"/>
      <c r="C792" s="40" t="n"/>
    </row>
    <row r="793">
      <c r="B793" s="40" t="n"/>
      <c r="C793" s="40" t="n"/>
    </row>
    <row r="794">
      <c r="B794" s="40" t="n"/>
      <c r="C794" s="40" t="n"/>
    </row>
    <row r="795">
      <c r="B795" s="40" t="n"/>
      <c r="C795" s="40" t="n"/>
    </row>
    <row r="796">
      <c r="B796" s="40" t="n"/>
      <c r="C796" s="40" t="n"/>
    </row>
    <row r="797">
      <c r="B797" s="40" t="n"/>
      <c r="C797" s="40" t="n"/>
    </row>
    <row r="798">
      <c r="B798" s="40" t="n"/>
      <c r="C798" s="40" t="n"/>
    </row>
    <row r="799">
      <c r="B799" s="40" t="n"/>
      <c r="C799" s="40" t="n"/>
    </row>
    <row r="800">
      <c r="B800" s="40" t="n"/>
      <c r="C800" s="40" t="n"/>
    </row>
    <row r="801">
      <c r="B801" s="40" t="n"/>
      <c r="C801" s="40" t="n"/>
    </row>
    <row r="802">
      <c r="B802" s="40" t="n"/>
      <c r="C802" s="40" t="n"/>
    </row>
    <row r="803">
      <c r="B803" s="40" t="n"/>
      <c r="C803" s="40" t="n"/>
    </row>
    <row r="804">
      <c r="B804" s="40" t="n"/>
      <c r="C804" s="40" t="n"/>
    </row>
    <row r="805">
      <c r="B805" s="40" t="n"/>
      <c r="C805" s="40" t="n"/>
    </row>
    <row r="806">
      <c r="B806" s="40" t="n"/>
      <c r="C806" s="40" t="n"/>
    </row>
    <row r="807">
      <c r="B807" s="40" t="n"/>
      <c r="C807" s="40" t="n"/>
    </row>
    <row r="808">
      <c r="B808" s="40" t="n"/>
      <c r="C808" s="40" t="n"/>
    </row>
    <row r="809">
      <c r="B809" s="40" t="n"/>
      <c r="C809" s="40" t="n"/>
    </row>
    <row r="810">
      <c r="B810" s="40" t="n"/>
      <c r="C810" s="40" t="n"/>
    </row>
    <row r="811">
      <c r="B811" s="40" t="n"/>
      <c r="C811" s="40" t="n"/>
    </row>
    <row r="812">
      <c r="B812" s="40" t="n"/>
      <c r="C812" s="40" t="n"/>
    </row>
    <row r="813">
      <c r="B813" s="40" t="n"/>
      <c r="C813" s="40" t="n"/>
    </row>
    <row r="814">
      <c r="B814" s="40" t="n"/>
      <c r="C814" s="40" t="n"/>
    </row>
    <row r="815">
      <c r="B815" s="40" t="n"/>
      <c r="C815" s="40" t="n"/>
    </row>
    <row r="816">
      <c r="B816" s="40" t="n"/>
      <c r="C816" s="40" t="n"/>
    </row>
    <row r="817">
      <c r="B817" s="40" t="n"/>
      <c r="C817" s="40" t="n"/>
    </row>
    <row r="818">
      <c r="B818" s="40" t="n"/>
      <c r="C818" s="40" t="n"/>
    </row>
    <row r="819">
      <c r="B819" s="40" t="n"/>
      <c r="C819" s="40" t="n"/>
    </row>
    <row r="820">
      <c r="B820" s="40" t="n"/>
      <c r="C820" s="40" t="n"/>
    </row>
    <row r="821">
      <c r="B821" s="40" t="n"/>
      <c r="C821" s="40" t="n"/>
    </row>
    <row r="822">
      <c r="B822" s="40" t="n"/>
      <c r="C822" s="40" t="n"/>
    </row>
    <row r="823">
      <c r="B823" s="40" t="n"/>
      <c r="C823" s="40" t="n"/>
    </row>
    <row r="824">
      <c r="B824" s="40" t="n"/>
      <c r="C824" s="40" t="n"/>
    </row>
    <row r="825">
      <c r="B825" s="40" t="n"/>
      <c r="C825" s="40" t="n"/>
    </row>
    <row r="826">
      <c r="B826" s="40" t="n"/>
      <c r="C826" s="40" t="n"/>
    </row>
    <row r="827">
      <c r="B827" s="40" t="n"/>
      <c r="C827" s="40" t="n"/>
    </row>
    <row r="828">
      <c r="B828" s="40" t="n"/>
      <c r="C828" s="40" t="n"/>
    </row>
    <row r="829">
      <c r="B829" s="40" t="n"/>
      <c r="C829" s="40" t="n"/>
    </row>
    <row r="830">
      <c r="B830" s="40" t="n"/>
      <c r="C830" s="40" t="n"/>
    </row>
    <row r="831">
      <c r="B831" s="40" t="n"/>
      <c r="C831" s="40" t="n"/>
    </row>
    <row r="832">
      <c r="B832" s="40" t="n"/>
      <c r="C832" s="40" t="n"/>
    </row>
    <row r="833">
      <c r="B833" s="40" t="n"/>
      <c r="C833" s="40" t="n"/>
    </row>
    <row r="834">
      <c r="B834" s="40" t="n"/>
      <c r="C834" s="40" t="n"/>
    </row>
    <row r="835">
      <c r="B835" s="40" t="n"/>
      <c r="C835" s="40" t="n"/>
    </row>
    <row r="836">
      <c r="B836" s="40" t="n"/>
      <c r="C836" s="40" t="n"/>
    </row>
    <row r="837">
      <c r="B837" s="40" t="n"/>
      <c r="C837" s="40" t="n"/>
    </row>
    <row r="838">
      <c r="B838" s="40" t="n"/>
      <c r="C838" s="40" t="n"/>
    </row>
    <row r="839">
      <c r="B839" s="40" t="n"/>
      <c r="C839" s="40" t="n"/>
    </row>
    <row r="840">
      <c r="B840" s="40" t="n"/>
      <c r="C840" s="40" t="n"/>
    </row>
    <row r="841">
      <c r="B841" s="40" t="n"/>
      <c r="C841" s="40" t="n"/>
    </row>
    <row r="842">
      <c r="B842" s="40" t="n"/>
      <c r="C842" s="40" t="n"/>
    </row>
    <row r="843">
      <c r="B843" s="40" t="n"/>
      <c r="C843" s="40" t="n"/>
    </row>
    <row r="844">
      <c r="B844" s="40" t="n"/>
      <c r="C844" s="40" t="n"/>
    </row>
    <row r="845">
      <c r="B845" s="40" t="n"/>
      <c r="C845" s="40" t="n"/>
    </row>
    <row r="846">
      <c r="B846" s="40" t="n"/>
      <c r="C846" s="40" t="n"/>
    </row>
    <row r="847">
      <c r="B847" s="40" t="n"/>
      <c r="C847" s="40" t="n"/>
    </row>
    <row r="848">
      <c r="B848" s="40" t="n"/>
      <c r="C848" s="40" t="n"/>
    </row>
    <row r="849">
      <c r="B849" s="40" t="n"/>
      <c r="C849" s="40" t="n"/>
    </row>
    <row r="850">
      <c r="B850" s="40" t="n"/>
      <c r="C850" s="40" t="n"/>
    </row>
    <row r="851">
      <c r="B851" s="40" t="n"/>
      <c r="C851" s="40" t="n"/>
    </row>
    <row r="852">
      <c r="B852" s="40" t="n"/>
      <c r="C852" s="40" t="n"/>
    </row>
    <row r="853">
      <c r="B853" s="40" t="n"/>
      <c r="C853" s="40" t="n"/>
    </row>
    <row r="854">
      <c r="B854" s="40" t="n"/>
      <c r="C854" s="40" t="n"/>
    </row>
    <row r="855">
      <c r="B855" s="40" t="n"/>
      <c r="C855" s="40" t="n"/>
    </row>
    <row r="856">
      <c r="B856" s="40" t="n"/>
      <c r="C856" s="40" t="n"/>
    </row>
    <row r="857">
      <c r="B857" s="40" t="n"/>
      <c r="C857" s="40" t="n"/>
    </row>
    <row r="858">
      <c r="B858" s="40" t="n"/>
      <c r="C858" s="40" t="n"/>
    </row>
    <row r="859">
      <c r="B859" s="40" t="n"/>
      <c r="C859" s="40" t="n"/>
    </row>
    <row r="860">
      <c r="B860" s="40" t="n"/>
      <c r="C860" s="40" t="n"/>
    </row>
    <row r="861">
      <c r="B861" s="40" t="n"/>
      <c r="C861" s="40" t="n"/>
    </row>
    <row r="862">
      <c r="B862" s="40" t="n"/>
      <c r="C862" s="40" t="n"/>
    </row>
    <row r="863">
      <c r="B863" s="40" t="n"/>
      <c r="C863" s="40" t="n"/>
    </row>
    <row r="864">
      <c r="B864" s="40" t="n"/>
      <c r="C864" s="40" t="n"/>
    </row>
    <row r="865">
      <c r="B865" s="40" t="n"/>
      <c r="C865" s="40" t="n"/>
    </row>
    <row r="866">
      <c r="B866" s="40" t="n"/>
      <c r="C866" s="40" t="n"/>
    </row>
    <row r="867">
      <c r="B867" s="40" t="n"/>
      <c r="C867" s="40" t="n"/>
    </row>
    <row r="868">
      <c r="B868" s="40" t="n"/>
      <c r="C868" s="40" t="n"/>
    </row>
    <row r="869">
      <c r="B869" s="40" t="n"/>
      <c r="C869" s="40" t="n"/>
    </row>
    <row r="870">
      <c r="B870" s="40" t="n"/>
      <c r="C870" s="40" t="n"/>
    </row>
    <row r="871">
      <c r="B871" s="40" t="n"/>
      <c r="C871" s="40" t="n"/>
    </row>
    <row r="872">
      <c r="B872" s="40" t="n"/>
      <c r="C872" s="40" t="n"/>
    </row>
    <row r="873">
      <c r="B873" s="40" t="n"/>
      <c r="C873" s="40" t="n"/>
    </row>
    <row r="874">
      <c r="B874" s="40" t="n"/>
      <c r="C874" s="40" t="n"/>
    </row>
    <row r="875">
      <c r="B875" s="40" t="n"/>
      <c r="C875" s="40" t="n"/>
    </row>
    <row r="876">
      <c r="B876" s="40" t="n"/>
      <c r="C876" s="40" t="n"/>
    </row>
    <row r="877">
      <c r="B877" s="40" t="n"/>
      <c r="C877" s="40" t="n"/>
    </row>
    <row r="878">
      <c r="B878" s="40" t="n"/>
      <c r="C878" s="40" t="n"/>
    </row>
    <row r="879">
      <c r="B879" s="40" t="n"/>
      <c r="C879" s="40" t="n"/>
    </row>
    <row r="880">
      <c r="B880" s="40" t="n"/>
      <c r="C880" s="40" t="n"/>
    </row>
    <row r="881">
      <c r="B881" s="40" t="n"/>
      <c r="C881" s="40" t="n"/>
    </row>
    <row r="882">
      <c r="B882" s="40" t="n"/>
      <c r="C882" s="40" t="n"/>
    </row>
    <row r="883">
      <c r="B883" s="40" t="n"/>
      <c r="C883" s="40" t="n"/>
    </row>
    <row r="884">
      <c r="B884" s="40" t="n"/>
      <c r="C884" s="40" t="n"/>
    </row>
    <row r="885">
      <c r="B885" s="40" t="n"/>
      <c r="C885" s="40" t="n"/>
    </row>
    <row r="886">
      <c r="B886" s="40" t="n"/>
      <c r="C886" s="40" t="n"/>
    </row>
    <row r="887">
      <c r="B887" s="40" t="n"/>
      <c r="C887" s="40" t="n"/>
    </row>
    <row r="888">
      <c r="B888" s="40" t="n"/>
      <c r="C888" s="40" t="n"/>
    </row>
    <row r="889">
      <c r="B889" s="40" t="n"/>
      <c r="C889" s="40" t="n"/>
    </row>
    <row r="890">
      <c r="B890" s="40" t="n"/>
      <c r="C890" s="40" t="n"/>
    </row>
    <row r="891">
      <c r="B891" s="40" t="n"/>
      <c r="C891" s="40" t="n"/>
    </row>
    <row r="892">
      <c r="B892" s="40" t="n"/>
      <c r="C892" s="40" t="n"/>
    </row>
    <row r="893">
      <c r="B893" s="40" t="n"/>
      <c r="C893" s="40" t="n"/>
    </row>
    <row r="894">
      <c r="B894" s="40" t="n"/>
      <c r="C894" s="40" t="n"/>
    </row>
    <row r="895">
      <c r="B895" s="40" t="n"/>
      <c r="C895" s="40" t="n"/>
    </row>
    <row r="896">
      <c r="B896" s="40" t="n"/>
      <c r="C896" s="40" t="n"/>
    </row>
    <row r="897">
      <c r="B897" s="40" t="n"/>
      <c r="C897" s="40" t="n"/>
    </row>
    <row r="898">
      <c r="B898" s="40" t="n"/>
      <c r="C898" s="40" t="n"/>
    </row>
    <row r="899">
      <c r="B899" s="40" t="n"/>
      <c r="C899" s="40" t="n"/>
    </row>
    <row r="900">
      <c r="B900" s="40" t="n"/>
      <c r="C900" s="40" t="n"/>
    </row>
    <row r="901">
      <c r="B901" s="40" t="n"/>
      <c r="C901" s="40" t="n"/>
    </row>
    <row r="902">
      <c r="B902" s="40" t="n"/>
      <c r="C902" s="40" t="n"/>
    </row>
    <row r="903">
      <c r="B903" s="40" t="n"/>
      <c r="C903" s="40" t="n"/>
    </row>
    <row r="904">
      <c r="B904" s="40" t="n"/>
      <c r="C904" s="40" t="n"/>
    </row>
    <row r="905">
      <c r="B905" s="40" t="n"/>
      <c r="C905" s="40" t="n"/>
    </row>
    <row r="906">
      <c r="B906" s="40" t="n"/>
      <c r="C906" s="40" t="n"/>
    </row>
    <row r="907">
      <c r="B907" s="40" t="n"/>
      <c r="C907" s="40" t="n"/>
    </row>
    <row r="908">
      <c r="B908" s="40" t="n"/>
      <c r="C908" s="40" t="n"/>
    </row>
    <row r="909">
      <c r="B909" s="40" t="n"/>
      <c r="C909" s="40" t="n"/>
    </row>
    <row r="910">
      <c r="B910" s="40" t="n"/>
      <c r="C910" s="40" t="n"/>
    </row>
    <row r="911">
      <c r="B911" s="40" t="n"/>
      <c r="C911" s="40" t="n"/>
    </row>
    <row r="912">
      <c r="B912" s="40" t="n"/>
      <c r="C912" s="40" t="n"/>
    </row>
    <row r="913">
      <c r="B913" s="40" t="n"/>
      <c r="C913" s="40" t="n"/>
    </row>
    <row r="914">
      <c r="B914" s="40" t="n"/>
      <c r="C914" s="40" t="n"/>
    </row>
    <row r="915">
      <c r="B915" s="40" t="n"/>
      <c r="C915" s="40" t="n"/>
    </row>
    <row r="916">
      <c r="B916" s="40" t="n"/>
      <c r="C916" s="40" t="n"/>
    </row>
    <row r="917">
      <c r="B917" s="40" t="n"/>
      <c r="C917" s="40" t="n"/>
    </row>
    <row r="918">
      <c r="B918" s="40" t="n"/>
      <c r="C918" s="40" t="n"/>
    </row>
    <row r="919">
      <c r="B919" s="40" t="n"/>
      <c r="C919" s="40" t="n"/>
    </row>
    <row r="920">
      <c r="B920" s="40" t="n"/>
      <c r="C920" s="40" t="n"/>
    </row>
    <row r="921">
      <c r="B921" s="40" t="n"/>
      <c r="C921" s="40" t="n"/>
    </row>
    <row r="922">
      <c r="B922" s="40" t="n"/>
      <c r="C922" s="40" t="n"/>
    </row>
    <row r="923">
      <c r="B923" s="40" t="n"/>
      <c r="C923" s="40" t="n"/>
    </row>
    <row r="924">
      <c r="B924" s="40" t="n"/>
      <c r="C924" s="40" t="n"/>
    </row>
    <row r="925">
      <c r="B925" s="40" t="n"/>
      <c r="C925" s="40" t="n"/>
    </row>
    <row r="926">
      <c r="B926" s="40" t="n"/>
      <c r="C926" s="40" t="n"/>
    </row>
    <row r="927">
      <c r="B927" s="40" t="n"/>
      <c r="C927" s="40" t="n"/>
    </row>
    <row r="928">
      <c r="B928" s="40" t="n"/>
      <c r="C928" s="40" t="n"/>
    </row>
    <row r="929">
      <c r="B929" s="40" t="n"/>
      <c r="C929" s="40" t="n"/>
    </row>
    <row r="930">
      <c r="B930" s="40" t="n"/>
      <c r="C930" s="40" t="n"/>
    </row>
    <row r="931">
      <c r="B931" s="40" t="n"/>
      <c r="C931" s="40" t="n"/>
    </row>
    <row r="932">
      <c r="B932" s="40" t="n"/>
      <c r="C932" s="40" t="n"/>
    </row>
    <row r="933">
      <c r="B933" s="40" t="n"/>
      <c r="C933" s="40" t="n"/>
    </row>
    <row r="934">
      <c r="B934" s="40" t="n"/>
      <c r="C934" s="40" t="n"/>
    </row>
    <row r="935">
      <c r="B935" s="40" t="n"/>
      <c r="C935" s="40" t="n"/>
    </row>
    <row r="936">
      <c r="B936" s="40" t="n"/>
      <c r="C936" s="40" t="n"/>
    </row>
    <row r="937">
      <c r="B937" s="40" t="n"/>
      <c r="C937" s="40" t="n"/>
    </row>
    <row r="938">
      <c r="B938" s="40" t="n"/>
      <c r="C938" s="40" t="n"/>
    </row>
    <row r="939">
      <c r="B939" s="40" t="n"/>
      <c r="C939" s="40" t="n"/>
    </row>
    <row r="940">
      <c r="B940" s="40" t="n"/>
      <c r="C940" s="40" t="n"/>
    </row>
    <row r="941">
      <c r="B941" s="40" t="n"/>
      <c r="C941" s="40" t="n"/>
    </row>
    <row r="942">
      <c r="B942" s="40" t="n"/>
      <c r="C942" s="40" t="n"/>
    </row>
    <row r="943">
      <c r="B943" s="40" t="n"/>
      <c r="C943" s="40" t="n"/>
    </row>
    <row r="944">
      <c r="B944" s="40" t="n"/>
      <c r="C944" s="40" t="n"/>
    </row>
    <row r="945">
      <c r="B945" s="40" t="n"/>
      <c r="C945" s="40" t="n"/>
    </row>
    <row r="946">
      <c r="B946" s="40" t="n"/>
      <c r="C946" s="40" t="n"/>
    </row>
    <row r="947">
      <c r="B947" s="40" t="n"/>
      <c r="C947" s="40" t="n"/>
    </row>
    <row r="948">
      <c r="B948" s="40" t="n"/>
      <c r="C948" s="40" t="n"/>
    </row>
    <row r="949">
      <c r="B949" s="40" t="n"/>
      <c r="C949" s="40" t="n"/>
    </row>
    <row r="950">
      <c r="B950" s="40" t="n"/>
      <c r="C950" s="40" t="n"/>
    </row>
    <row r="951">
      <c r="B951" s="40" t="n"/>
      <c r="C951" s="40" t="n"/>
    </row>
    <row r="952">
      <c r="B952" s="40" t="n"/>
      <c r="C952" s="40" t="n"/>
    </row>
    <row r="953">
      <c r="B953" s="40" t="n"/>
      <c r="C953" s="40" t="n"/>
    </row>
    <row r="954">
      <c r="B954" s="40" t="n"/>
      <c r="C954" s="40" t="n"/>
    </row>
    <row r="955">
      <c r="B955" s="40" t="n"/>
      <c r="C955" s="40" t="n"/>
    </row>
    <row r="956">
      <c r="B956" s="40" t="n"/>
      <c r="C956" s="40" t="n"/>
    </row>
    <row r="957">
      <c r="B957" s="40" t="n"/>
      <c r="C957" s="40" t="n"/>
    </row>
    <row r="958">
      <c r="B958" s="40" t="n"/>
      <c r="C958" s="40" t="n"/>
    </row>
    <row r="959">
      <c r="B959" s="40" t="n"/>
      <c r="C959" s="40" t="n"/>
    </row>
    <row r="960">
      <c r="B960" s="40" t="n"/>
      <c r="C960" s="40" t="n"/>
    </row>
    <row r="961">
      <c r="B961" s="40" t="n"/>
      <c r="C961" s="40" t="n"/>
    </row>
    <row r="962">
      <c r="B962" s="40" t="n"/>
      <c r="C962" s="40" t="n"/>
    </row>
    <row r="963">
      <c r="B963" s="40" t="n"/>
      <c r="C963" s="40" t="n"/>
    </row>
    <row r="964">
      <c r="B964" s="40" t="n"/>
      <c r="C964" s="40" t="n"/>
    </row>
    <row r="965">
      <c r="B965" s="40" t="n"/>
      <c r="C965" s="40" t="n"/>
    </row>
    <row r="966">
      <c r="B966" s="40" t="n"/>
      <c r="C966" s="40" t="n"/>
    </row>
    <row r="967">
      <c r="B967" s="40" t="n"/>
      <c r="C967" s="40" t="n"/>
    </row>
    <row r="968">
      <c r="B968" s="40" t="n"/>
      <c r="C968" s="40" t="n"/>
    </row>
    <row r="969">
      <c r="B969" s="40" t="n"/>
      <c r="C969" s="40" t="n"/>
    </row>
    <row r="970">
      <c r="B970" s="40" t="n"/>
      <c r="C970" s="40" t="n"/>
    </row>
    <row r="971">
      <c r="B971" s="40" t="n"/>
      <c r="C971" s="40" t="n"/>
    </row>
    <row r="972">
      <c r="B972" s="40" t="n"/>
      <c r="C972" s="40" t="n"/>
    </row>
    <row r="973">
      <c r="B973" s="40" t="n"/>
      <c r="C973" s="40" t="n"/>
    </row>
    <row r="974">
      <c r="B974" s="40" t="n"/>
      <c r="C974" s="40" t="n"/>
    </row>
    <row r="975">
      <c r="B975" s="40" t="n"/>
      <c r="C975" s="40" t="n"/>
    </row>
    <row r="976">
      <c r="B976" s="40" t="n"/>
      <c r="C976" s="40" t="n"/>
    </row>
    <row r="977">
      <c r="B977" s="40" t="n"/>
      <c r="C977" s="40" t="n"/>
    </row>
    <row r="978">
      <c r="B978" s="40" t="n"/>
      <c r="C978" s="40" t="n"/>
    </row>
    <row r="979">
      <c r="B979" s="40" t="n"/>
      <c r="C979" s="40" t="n"/>
    </row>
    <row r="980">
      <c r="B980" s="40" t="n"/>
      <c r="C980" s="40" t="n"/>
    </row>
    <row r="981">
      <c r="B981" s="40" t="n"/>
      <c r="C981" s="40" t="n"/>
    </row>
    <row r="982">
      <c r="B982" s="40" t="n"/>
      <c r="C982" s="40" t="n"/>
    </row>
    <row r="983">
      <c r="B983" s="40" t="n"/>
      <c r="C983" s="40" t="n"/>
    </row>
    <row r="984">
      <c r="B984" s="40" t="n"/>
      <c r="C984" s="40" t="n"/>
    </row>
    <row r="985">
      <c r="B985" s="40" t="n"/>
      <c r="C985" s="40" t="n"/>
    </row>
    <row r="986">
      <c r="B986" s="40" t="n"/>
      <c r="C986" s="40" t="n"/>
    </row>
    <row r="987">
      <c r="B987" s="40" t="n"/>
      <c r="C987" s="40" t="n"/>
    </row>
    <row r="988">
      <c r="B988" s="40" t="n"/>
      <c r="C988" s="40" t="n"/>
    </row>
    <row r="989">
      <c r="B989" s="40" t="n"/>
      <c r="C989" s="40" t="n"/>
    </row>
    <row r="990">
      <c r="B990" s="40" t="n"/>
      <c r="C990" s="40" t="n"/>
    </row>
    <row r="991">
      <c r="B991" s="40" t="n"/>
      <c r="C991" s="40" t="n"/>
    </row>
    <row r="992">
      <c r="B992" s="40" t="n"/>
      <c r="C992" s="40" t="n"/>
    </row>
  </sheetData>
  <mergeCells count="2">
    <mergeCell ref="E2:G2"/>
    <mergeCell ref="H2:I2"/>
  </mergeCells>
  <hyperlinks>
    <hyperlink ref="C4" location="'Agency List &amp; Registration'!A1" display="Agency List &amp; Registration"/>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J997"/>
  <sheetViews>
    <sheetView showGridLines="0"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TC_AGCY_LIST_001</t>
        </is>
      </c>
      <c r="C2" s="63" t="inlineStr">
        <is>
          <t>Danh sách Đại lý (AW_AGCY_001)</t>
        </is>
      </c>
      <c r="D2" s="71" t="inlineStr">
        <is>
          <t>UI</t>
        </is>
      </c>
      <c r="E2" s="71" t="inlineStr">
        <is>
          <t>Low</t>
        </is>
      </c>
      <c r="F2" s="71" t="inlineStr">
        <is>
          <t>AC-01 / AW_AGCY_001</t>
        </is>
      </c>
      <c r="G2" s="63" t="inlineStr">
        <is>
          <t>[UI Visual] Check màn hình Danh sách Đại lý &amp; Đối tác hiển thị đúng layout tổng thể</t>
        </is>
      </c>
      <c r="H2" s="71" t="inlineStr">
        <is>
          <t>System Admin đã đăng nhập thành công. Có ít nhất 1 đại lý trong hệ thống.</t>
        </is>
      </c>
      <c r="I2" s="71" t="inlineStr">
        <is>
          <t>1. Truy cập màn hình Danh sách Đại lý &amp; Đối tác</t>
        </is>
      </c>
      <c r="J2" s="70" t="inlineStr">
        <is>
          <t>- Tiêu đề màn hình hiển thị đúng
- Bảng danh sách có các cột: Tên đại lý, Điều kiện hợp đồng, Tỷ lệ hoa hồng (%), Trạng thái
- Nút [Đăng ký mới] hiển thị
- Ô tìm kiếm hiển thị
- Layout không bị vỡ</t>
        </is>
      </c>
      <c r="K2" s="70" t="inlineStr">
        <is>
          <t>Tài khoản: admin_qc_01@eskitchen.jp</t>
        </is>
      </c>
      <c r="L2" s="70" t="inlineStr">
        <is>
          <t>Medium</t>
        </is>
      </c>
      <c r="M2" s="65" t="n"/>
      <c r="N2" s="66" t="n"/>
      <c r="O2" s="81" t="n"/>
      <c r="P2" s="81" t="n"/>
      <c r="Q2" s="65" t="n"/>
      <c r="R2" s="66" t="n"/>
      <c r="S2" s="81" t="n"/>
      <c r="T2" s="81" t="n"/>
      <c r="U2" s="63" t="n"/>
      <c r="V2" s="63" t="n"/>
      <c r="W2" s="81" t="inlineStr">
        <is>
          <t>⚠️ Figma chưa đọc được — không verify màu sắc, px. Danh sách cột đầy đủ chờ BA confirm</t>
        </is>
      </c>
      <c r="X2" s="68" t="n"/>
      <c r="Y2" s="68" t="n"/>
      <c r="Z2" s="68" t="n"/>
      <c r="AA2" s="68" t="n"/>
      <c r="AB2" s="68" t="n"/>
      <c r="AC2" s="68" t="n"/>
      <c r="AD2" s="68" t="n"/>
      <c r="AE2" s="68" t="n"/>
      <c r="AF2" s="68" t="n"/>
      <c r="AG2" s="68" t="n"/>
      <c r="AH2" s="68" t="n"/>
      <c r="AI2" s="68" t="n"/>
      <c r="AJ2" s="69" t="n"/>
    </row>
    <row r="3">
      <c r="A3" s="59">
        <f>row()-2</f>
        <v/>
      </c>
      <c r="B3" s="60" t="inlineStr">
        <is>
          <t>TC_AGCY_LIST_002</t>
        </is>
      </c>
      <c r="C3" s="63" t="inlineStr">
        <is>
          <t>Danh sách Đại lý (AW_AGCY_001)</t>
        </is>
      </c>
      <c r="D3" s="63" t="inlineStr">
        <is>
          <t>Functional</t>
        </is>
      </c>
      <c r="E3" s="63" t="inlineStr">
        <is>
          <t>High</t>
        </is>
      </c>
      <c r="F3" s="63" t="inlineStr">
        <is>
          <t>AC-01 / AW_AGCY_001</t>
        </is>
      </c>
      <c r="G3" s="63" t="inlineStr">
        <is>
          <t>Check danh sách đại lý hiển thị đầy đủ 4 cột thông tin theo AC-01 với dữ liệu đúng</t>
        </is>
      </c>
      <c r="H3" s="71" t="inlineStr">
        <is>
          <t>System Admin đã đăng nhập. Có 2 đại lý: "Đại lý Minh Thành" (Đang chạy, hoa hồng 5%) và "Đại lý Thiên Long" (Đã hủy, hoa hồng 8%).</t>
        </is>
      </c>
      <c r="I3" s="71" t="inlineStr">
        <is>
          <t>1. Truy cập màn hình Danh sách Đại lý &amp; Đối tác</t>
        </is>
      </c>
      <c r="J3" s="70" t="inlineStr">
        <is>
          <t>- Mỗi hàng hiển thị đủ 4 cột: Tên đại lý, Điều kiện hợp đồng, Tỷ lệ hoa hồng (%), Trạng thái
- Hàng "Đại lý Minh Thành": Trạng thái = "Đang chạy", Hoa hồng = "5%"
- Hàng "Đại lý Thiên Long": Trạng thái = "Đã hủy", Hoa hồng = "8%"
- Không nhầm lẫn dữ liệu giữa các hàng</t>
        </is>
      </c>
      <c r="K3" s="70" t="inlineStr">
        <is>
          <t>Đại lý 1: tên "Đại lý Minh Thành", trạng thái Đang chạy, hoa hồng 5%
Đại lý 2: tên "Đại lý Thiên Long", trạng thái Đã hủy, hoa hồng 8%</t>
        </is>
      </c>
      <c r="L3" s="70" t="inlineStr">
        <is>
          <t>Critical</t>
        </is>
      </c>
      <c r="M3" s="65" t="n"/>
      <c r="N3" s="66" t="n"/>
      <c r="O3" s="81" t="n"/>
      <c r="P3" s="70" t="n"/>
      <c r="Q3" s="65" t="n"/>
      <c r="R3" s="66" t="n"/>
      <c r="S3" s="81" t="n"/>
      <c r="T3" s="70" t="n"/>
      <c r="U3" s="70" t="n"/>
      <c r="V3" s="70" t="n"/>
      <c r="W3" s="70" t="inlineStr">
        <is>
          <t>—</t>
        </is>
      </c>
      <c r="X3" s="68" t="n"/>
      <c r="Y3" s="68" t="n"/>
      <c r="Z3" s="68" t="n"/>
      <c r="AA3" s="68" t="n"/>
      <c r="AB3" s="68" t="n"/>
      <c r="AC3" s="68" t="n"/>
      <c r="AD3" s="68" t="n"/>
      <c r="AE3" s="68" t="n"/>
      <c r="AF3" s="68" t="n"/>
      <c r="AG3" s="68" t="n"/>
      <c r="AH3" s="68" t="n"/>
      <c r="AI3" s="68" t="n"/>
      <c r="AJ3" s="69" t="n"/>
    </row>
    <row r="4">
      <c r="A4" s="59">
        <f>row()-2</f>
        <v/>
      </c>
      <c r="B4" s="60" t="inlineStr">
        <is>
          <t>TC_AGCY_LIST_003</t>
        </is>
      </c>
      <c r="C4" s="71" t="inlineStr">
        <is>
          <t>Trạng thái đại lý (AW_AGCY_001)</t>
        </is>
      </c>
      <c r="D4" s="63" t="inlineStr">
        <is>
          <t>Functional</t>
        </is>
      </c>
      <c r="E4" s="63" t="inlineStr">
        <is>
          <t>Medium</t>
        </is>
      </c>
      <c r="F4" s="63" t="inlineStr">
        <is>
          <t>AC-01 / AW_AGCY_001</t>
        </is>
      </c>
      <c r="G4" s="63" t="inlineStr">
        <is>
          <t>Check đại lý có trạng thái "Đang chạy" hiển thị đúng nhãn trong cột Trạng thái</t>
        </is>
      </c>
      <c r="H4" s="63" t="inlineStr">
        <is>
          <t>Có đại lý "Đại lý ABC" với trạng thái "Đang chạy" trong hệ thống.</t>
        </is>
      </c>
      <c r="I4" s="71" t="inlineStr">
        <is>
          <t>1. Truy cập màn hình Danh sách
2. Tìm hàng "Đại lý ABC" trong bảng</t>
        </is>
      </c>
      <c r="J4" s="70" t="inlineStr">
        <is>
          <t>- Cột Trạng thái của "Đại lý ABC" hiển thị "Đang chạy"
- Không hiển thị nhãn khác (VD "Đã hủy")</t>
        </is>
      </c>
      <c r="K4" s="70" t="inlineStr">
        <is>
          <t>Đại lý "Đại lý ABC", trạng thái = Đang chạy</t>
        </is>
      </c>
      <c r="L4" s="70" t="inlineStr">
        <is>
          <t>High</t>
        </is>
      </c>
      <c r="M4" s="65" t="n"/>
      <c r="N4" s="66" t="n"/>
      <c r="O4" s="81" t="n"/>
      <c r="P4" s="70" t="n"/>
      <c r="Q4" s="65" t="n"/>
      <c r="R4" s="66" t="n"/>
      <c r="S4" s="81" t="n"/>
      <c r="T4" s="70" t="n"/>
      <c r="U4" s="70" t="n"/>
      <c r="V4" s="70" t="n"/>
      <c r="W4" s="70" t="inlineStr">
        <is>
          <t>⚠️ Cần BA confirm: nhãn hiển thị chính xác trên UI (tiếng Việt hay tiếng Nhật) — xem Open Questions</t>
        </is>
      </c>
      <c r="X4" s="68" t="n"/>
      <c r="Y4" s="68" t="n"/>
      <c r="Z4" s="68" t="n"/>
      <c r="AA4" s="68" t="n"/>
      <c r="AB4" s="68" t="n"/>
      <c r="AC4" s="68" t="n"/>
      <c r="AD4" s="68" t="n"/>
      <c r="AE4" s="68" t="n"/>
      <c r="AF4" s="68" t="n"/>
      <c r="AG4" s="68" t="n"/>
      <c r="AH4" s="68" t="n"/>
      <c r="AI4" s="68" t="n"/>
      <c r="AJ4" s="69" t="n"/>
    </row>
    <row r="5">
      <c r="A5" s="59">
        <f>row()-2</f>
        <v/>
      </c>
      <c r="B5" s="60" t="inlineStr">
        <is>
          <t>TC_AGCY_LIST_004</t>
        </is>
      </c>
      <c r="C5" s="71" t="inlineStr">
        <is>
          <t>Trạng thái đại lý (AW_AGCY_001)</t>
        </is>
      </c>
      <c r="D5" s="63" t="inlineStr">
        <is>
          <t>Functional</t>
        </is>
      </c>
      <c r="E5" s="63" t="inlineStr">
        <is>
          <t>Medium</t>
        </is>
      </c>
      <c r="F5" s="63" t="inlineStr">
        <is>
          <t>AC-01 / AW_AGCY_001</t>
        </is>
      </c>
      <c r="G5" s="63" t="inlineStr">
        <is>
          <t>Check đại lý có trạng thái "Đã hủy" hiển thị đúng nhãn trong cột Trạng thái</t>
        </is>
      </c>
      <c r="H5" s="71" t="inlineStr">
        <is>
          <t>Có đại lý "Đại lý XYZ" với trạng thái "Đã hủy" trong hệ thống.</t>
        </is>
      </c>
      <c r="I5" s="71" t="inlineStr">
        <is>
          <t>1. Truy cập màn hình Danh sách
2. Tìm hàng "Đại lý XYZ" trong bảng</t>
        </is>
      </c>
      <c r="J5" s="70" t="inlineStr">
        <is>
          <t>- Cột Trạng thái của "Đại lý XYZ" hiển thị "Đã hủy"
- Phân biệt rõ với "Đang chạy" (VD badge khác màu)
- Không hiển thị nhãn "Đang chạy"</t>
        </is>
      </c>
      <c r="K5" s="70" t="inlineStr">
        <is>
          <t>Đại lý "Đại lý XYZ", trạng thái = Đã hủy</t>
        </is>
      </c>
      <c r="L5" s="70" t="inlineStr">
        <is>
          <t>High</t>
        </is>
      </c>
      <c r="M5" s="65" t="n"/>
      <c r="N5" s="66" t="n"/>
      <c r="O5" s="81" t="n"/>
      <c r="P5" s="70" t="n"/>
      <c r="Q5" s="65" t="n"/>
      <c r="R5" s="66" t="n"/>
      <c r="S5" s="81" t="n"/>
      <c r="T5" s="70" t="n"/>
      <c r="U5" s="70" t="n"/>
      <c r="V5" s="70" t="n"/>
      <c r="W5" s="70" t="inlineStr">
        <is>
          <t>⚠️ Figma chưa đọc được — không verify màu badge cho từng trạng thái</t>
        </is>
      </c>
      <c r="X5" s="68" t="n"/>
      <c r="Y5" s="68" t="n"/>
      <c r="Z5" s="68" t="n"/>
      <c r="AA5" s="68" t="n"/>
      <c r="AB5" s="68" t="n"/>
      <c r="AC5" s="68" t="n"/>
      <c r="AD5" s="68" t="n"/>
      <c r="AE5" s="68" t="n"/>
      <c r="AF5" s="68" t="n"/>
      <c r="AG5" s="68" t="n"/>
      <c r="AH5" s="68" t="n"/>
      <c r="AI5" s="68" t="n"/>
      <c r="AJ5" s="69" t="n"/>
    </row>
    <row r="6">
      <c r="A6" s="59">
        <f>row()-2</f>
        <v/>
      </c>
      <c r="B6" s="60" t="inlineStr">
        <is>
          <t>TC_AGCY_LIST_005</t>
        </is>
      </c>
      <c r="C6" s="71" t="inlineStr">
        <is>
          <t>Tìm kiếm theo tên (AW_AGCY_001)</t>
        </is>
      </c>
      <c r="D6" s="63" t="inlineStr">
        <is>
          <t>Functional</t>
        </is>
      </c>
      <c r="E6" s="63" t="inlineStr">
        <is>
          <t>High</t>
        </is>
      </c>
      <c r="F6" s="63" t="inlineStr">
        <is>
          <t>AC-01 / AW_AGCY_001</t>
        </is>
      </c>
      <c r="G6" s="63" t="inlineStr">
        <is>
          <t>Check tìm kiếm theo tên đại lý bằng chuỗi con (partial match) trả về kết quả đúng</t>
        </is>
      </c>
      <c r="H6" s="71" t="inlineStr">
        <is>
          <t>Có 3 đại lý: "Đại lý Minh Thành", "Đại lý Minh Quân", "Đại lý Thiên Long". Admin đang ở màn hình Danh sách.</t>
        </is>
      </c>
      <c r="I6" s="71" t="inlineStr">
        <is>
          <t>1. Nhập "Minh" vào ô tìm kiếm
2. Quan sát kết quả danh sách</t>
        </is>
      </c>
      <c r="J6" s="70" t="inlineStr">
        <is>
          <t>- Danh sách lọc còn 2 hàng: "Đại lý Minh Thành" và "Đại lý Minh Quân"
- "Đại lý Thiên Long" không xuất hiện trong kết quả
- Số lượng kết quả phản ánh đúng bộ lọc</t>
        </is>
      </c>
      <c r="K6" s="70" t="inlineStr">
        <is>
          <t>Keyword tìm kiếm: "Minh"</t>
        </is>
      </c>
      <c r="L6" s="70" t="inlineStr">
        <is>
          <t>Critical</t>
        </is>
      </c>
      <c r="M6" s="65" t="n"/>
      <c r="N6" s="66" t="n"/>
      <c r="O6" s="81" t="n"/>
      <c r="P6" s="70" t="n"/>
      <c r="Q6" s="65" t="n"/>
      <c r="R6" s="66" t="n"/>
      <c r="S6" s="81" t="n"/>
      <c r="T6" s="70" t="n"/>
      <c r="U6" s="70" t="n"/>
      <c r="V6" s="70" t="n"/>
      <c r="W6" s="70" t="inlineStr">
        <is>
          <t>⚠️ Cần BA confirm: tìm kiếm có phân biệt hoa thường (case-sensitive) không?</t>
        </is>
      </c>
      <c r="X6" s="68" t="n"/>
      <c r="Y6" s="68" t="n"/>
      <c r="Z6" s="68" t="n"/>
      <c r="AA6" s="68" t="n"/>
      <c r="AB6" s="68" t="n"/>
      <c r="AC6" s="68" t="n"/>
      <c r="AD6" s="68" t="n"/>
      <c r="AE6" s="68" t="n"/>
      <c r="AF6" s="68" t="n"/>
      <c r="AG6" s="68" t="n"/>
      <c r="AH6" s="68" t="n"/>
      <c r="AI6" s="68" t="n"/>
      <c r="AJ6" s="69" t="n"/>
    </row>
    <row r="7">
      <c r="A7" s="59">
        <f>row()-2</f>
        <v/>
      </c>
      <c r="B7" s="60" t="inlineStr">
        <is>
          <t>TC_AGCY_LIST_006</t>
        </is>
      </c>
      <c r="C7" s="71" t="inlineStr">
        <is>
          <t>Tìm kiếm theo tên (AW_AGCY_001)</t>
        </is>
      </c>
      <c r="D7" s="63" t="inlineStr">
        <is>
          <t>Negative</t>
        </is>
      </c>
      <c r="E7" s="63" t="inlineStr">
        <is>
          <t>Medium</t>
        </is>
      </c>
      <c r="F7" s="63" t="inlineStr">
        <is>
          <t>AC-01 / AW_AGCY_001</t>
        </is>
      </c>
      <c r="G7" s="63" t="inlineStr">
        <is>
          <t>Check màn hình hiển thị empty state khi tìm kiếm không có kết quả phù hợp</t>
        </is>
      </c>
      <c r="H7" s="63" t="inlineStr">
        <is>
          <t>Admin đang ở màn hình Danh sách với ít nhất 1 đại lý.</t>
        </is>
      </c>
      <c r="I7" s="71" t="inlineStr">
        <is>
          <t>1. Nhập "zzznotexist999" vào ô tìm kiếm
2. Quan sát kết quả</t>
        </is>
      </c>
      <c r="J7" s="70" t="inlineStr">
        <is>
          <t>- Bảng không có hàng dữ liệu
- Hiển thị thông báo empty state (VD "Không tìm thấy kết quả phù hợp")
- Không hiển thị lỗi hệ thống hay màn hình trắng</t>
        </is>
      </c>
      <c r="K7" s="70" t="inlineStr">
        <is>
          <t>Keyword tìm kiếm: "zzznotexist999"</t>
        </is>
      </c>
      <c r="L7" s="70" t="inlineStr">
        <is>
          <t>High</t>
        </is>
      </c>
      <c r="M7" s="65" t="n"/>
      <c r="N7" s="66" t="n"/>
      <c r="O7" s="81" t="n"/>
      <c r="P7" s="70" t="n"/>
      <c r="Q7" s="65" t="n"/>
      <c r="R7" s="66" t="n"/>
      <c r="S7" s="81" t="n"/>
      <c r="T7" s="70" t="n"/>
      <c r="U7" s="70" t="n"/>
      <c r="V7" s="70" t="n"/>
      <c r="W7" s="70" t="inlineStr">
        <is>
          <t>⚠️ Cần BA confirm: nội dung thông báo empty state sau tìm kiếm</t>
        </is>
      </c>
      <c r="X7" s="68" t="n"/>
      <c r="Y7" s="68" t="n"/>
      <c r="Z7" s="68" t="n"/>
      <c r="AA7" s="68" t="n"/>
      <c r="AB7" s="68" t="n"/>
      <c r="AC7" s="68" t="n"/>
      <c r="AD7" s="68" t="n"/>
      <c r="AE7" s="68" t="n"/>
      <c r="AF7" s="68" t="n"/>
      <c r="AG7" s="68" t="n"/>
      <c r="AH7" s="68" t="n"/>
      <c r="AI7" s="68" t="n"/>
      <c r="AJ7" s="69" t="n"/>
    </row>
    <row r="8">
      <c r="A8" s="59">
        <f>row()-2</f>
        <v/>
      </c>
      <c r="B8" s="60" t="inlineStr">
        <is>
          <t>TC_AGCY_LIST_007</t>
        </is>
      </c>
      <c r="C8" s="71" t="inlineStr">
        <is>
          <t>Tìm kiếm theo tên (AW_AGCY_001)</t>
        </is>
      </c>
      <c r="D8" s="63" t="inlineStr">
        <is>
          <t>Functional</t>
        </is>
      </c>
      <c r="E8" s="63" t="inlineStr">
        <is>
          <t>Medium</t>
        </is>
      </c>
      <c r="F8" s="63" t="inlineStr">
        <is>
          <t>AC-01 / AW_AGCY_001</t>
        </is>
      </c>
      <c r="G8" s="63" t="inlineStr">
        <is>
          <t>Check danh sách khôi phục đầy đủ sau khi xóa từ khóa tìm kiếm</t>
        </is>
      </c>
      <c r="H8" s="71" t="inlineStr">
        <is>
          <t>Admin đã tìm kiếm "Minh", đang hiển thị 2 kết quả lọc. Hệ thống có tổng 3 đại lý.</t>
        </is>
      </c>
      <c r="I8" s="71" t="inlineStr">
        <is>
          <t>1. Xóa toàn bộ nội dung trong ô tìm kiếm
2. Quan sát danh sách</t>
        </is>
      </c>
      <c r="J8" s="70" t="inlineStr">
        <is>
          <t>- Danh sách hiển thị lại đầy đủ 3 đại lý
- Không cần nhấn thêm nút để reset bộ lọc</t>
        </is>
      </c>
      <c r="K8" s="70" t="inlineStr">
        <is>
          <t>Xóa keyword "Minh" thành chuỗi rỗng ""</t>
        </is>
      </c>
      <c r="L8" s="70" t="inlineStr">
        <is>
          <t>Medium</t>
        </is>
      </c>
      <c r="M8" s="65" t="n"/>
      <c r="N8" s="66" t="n"/>
      <c r="O8" s="81" t="n"/>
      <c r="P8" s="70" t="n"/>
      <c r="Q8" s="65" t="n"/>
      <c r="R8" s="66" t="n"/>
      <c r="S8" s="81" t="n"/>
      <c r="T8" s="70" t="n"/>
      <c r="U8" s="70" t="n"/>
      <c r="V8" s="70" t="n"/>
      <c r="W8" s="70" t="inlineStr">
        <is>
          <t>—</t>
        </is>
      </c>
      <c r="X8" s="68" t="n"/>
      <c r="Y8" s="68" t="n"/>
      <c r="Z8" s="68" t="n"/>
      <c r="AA8" s="68" t="n"/>
      <c r="AB8" s="68" t="n"/>
      <c r="AC8" s="68" t="n"/>
      <c r="AD8" s="68" t="n"/>
      <c r="AE8" s="68" t="n"/>
      <c r="AF8" s="68" t="n"/>
      <c r="AG8" s="68" t="n"/>
      <c r="AH8" s="68" t="n"/>
      <c r="AI8" s="68" t="n"/>
      <c r="AJ8" s="69" t="n"/>
    </row>
    <row r="9">
      <c r="A9" s="59">
        <f>row()-2</f>
        <v/>
      </c>
      <c r="B9" s="60" t="inlineStr">
        <is>
          <t>TC_AGCY_LIST_008</t>
        </is>
      </c>
      <c r="C9" s="71" t="inlineStr">
        <is>
          <t>Phân trang (AW_AGCY_001)</t>
        </is>
      </c>
      <c r="D9" s="63" t="inlineStr">
        <is>
          <t>Functional</t>
        </is>
      </c>
      <c r="E9" s="63" t="inlineStr">
        <is>
          <t>Medium</t>
        </is>
      </c>
      <c r="F9" s="63" t="inlineStr">
        <is>
          <t>AC-01 / AW_AGCY_001</t>
        </is>
      </c>
      <c r="G9" s="63" t="inlineStr">
        <is>
          <t>Check phân trang hoặc lazy load hoạt động đúng khi danh sách vượt ngưỡng page size</t>
        </is>
      </c>
      <c r="H9" s="71" t="inlineStr">
        <is>
          <t>Có tổng N+1 đại lý trong hệ thống (N = page size). Admin ở màn hình Danh sách.</t>
        </is>
      </c>
      <c r="I9" s="63" t="inlineStr">
        <is>
          <t>1. Truy cập màn hình Danh sách
2. Cuộn xuống cuối danh sách
3. Chuyển sang trang 2 (hoặc trigger lazy load)</t>
        </is>
      </c>
      <c r="J9" s="70" t="inlineStr">
        <is>
          <t>- Không hiển thị tất cả N+1 đại lý cùng một lúc
- Có pagination control (số trang, nút next/prev) hoặc lazy load indicator
- Chuyển trang 2 hiển thị đại lý thứ N+1
- Tổng số bản ghi hiển thị đúng</t>
        </is>
      </c>
      <c r="K9" s="70" t="inlineStr">
        <is>
          <t>N+1 đại lý trong hệ thống (N = ⚠️ TBD page size)</t>
        </is>
      </c>
      <c r="L9" s="70" t="inlineStr">
        <is>
          <t>High</t>
        </is>
      </c>
      <c r="M9" s="65" t="n"/>
      <c r="N9" s="66" t="n"/>
      <c r="O9" s="81" t="n"/>
      <c r="P9" s="70" t="n"/>
      <c r="Q9" s="65" t="n"/>
      <c r="R9" s="66" t="n"/>
      <c r="S9" s="81" t="n"/>
      <c r="T9" s="70" t="n"/>
      <c r="U9" s="70" t="n"/>
      <c r="V9" s="70" t="n"/>
      <c r="W9" s="70" t="inlineStr">
        <is>
          <t>⚠️ Cần BA confirm: page size N và kiểu phân trang (pagination hay infinite scroll)</t>
        </is>
      </c>
      <c r="X9" s="68" t="n"/>
      <c r="Y9" s="68" t="n"/>
      <c r="Z9" s="68" t="n"/>
      <c r="AA9" s="68" t="n"/>
      <c r="AB9" s="68" t="n"/>
      <c r="AC9" s="68" t="n"/>
      <c r="AD9" s="68" t="n"/>
      <c r="AE9" s="68" t="n"/>
      <c r="AF9" s="68" t="n"/>
      <c r="AG9" s="68" t="n"/>
      <c r="AH9" s="68" t="n"/>
      <c r="AI9" s="68" t="n"/>
      <c r="AJ9" s="69" t="n"/>
    </row>
    <row r="10">
      <c r="A10" s="59">
        <f>row()-2</f>
        <v/>
      </c>
      <c r="B10" s="60" t="inlineStr">
        <is>
          <t>TC_AGCY_LIST_009</t>
        </is>
      </c>
      <c r="C10" s="71" t="inlineStr">
        <is>
          <t>Danh sách Đại lý (AW_AGCY_001)</t>
        </is>
      </c>
      <c r="D10" s="63" t="inlineStr">
        <is>
          <t>Negative</t>
        </is>
      </c>
      <c r="E10" s="63" t="inlineStr">
        <is>
          <t>Low</t>
        </is>
      </c>
      <c r="F10" s="63" t="inlineStr">
        <is>
          <t>AC-01 / AW_AGCY_001</t>
        </is>
      </c>
      <c r="G10" s="63" t="inlineStr">
        <is>
          <t>Check màn hình hiển thị empty state khi chưa có đại lý nào được đăng ký</t>
        </is>
      </c>
      <c r="H10" s="71" t="inlineStr">
        <is>
          <t>Hệ thống không có bản ghi đại lý nào. Admin ở màn hình Danh sách.</t>
        </is>
      </c>
      <c r="I10" s="63" t="inlineStr">
        <is>
          <t>1. Truy cập màn hình Danh sách Đại lý &amp; Đối tác</t>
        </is>
      </c>
      <c r="J10" s="70" t="inlineStr">
        <is>
          <t>- Bảng không có hàng dữ liệu
- Hiển thị thông báo empty state thay vì bảng trống
- Nút [Đăng ký mới] vẫn hiển thị và có thể click
- Không có lỗi hệ thống</t>
        </is>
      </c>
      <c r="K10" s="70" t="inlineStr">
        <is>
          <t>Hệ thống không có bản ghi đại lý nào</t>
        </is>
      </c>
      <c r="L10" s="70" t="inlineStr">
        <is>
          <t>Medium</t>
        </is>
      </c>
      <c r="M10" s="65" t="n"/>
      <c r="N10" s="66" t="n"/>
      <c r="O10" s="81" t="n"/>
      <c r="P10" s="70" t="n"/>
      <c r="Q10" s="65" t="n"/>
      <c r="R10" s="66" t="n"/>
      <c r="S10" s="81" t="n"/>
      <c r="T10" s="70" t="n"/>
      <c r="U10" s="70" t="n"/>
      <c r="V10" s="70" t="n"/>
      <c r="W10" s="70" t="inlineStr">
        <is>
          <t>⚠️ Cần BA confirm: nội dung thông báo empty state ban đầu</t>
        </is>
      </c>
      <c r="X10" s="68" t="n"/>
      <c r="Y10" s="68" t="n"/>
      <c r="Z10" s="68" t="n"/>
      <c r="AA10" s="68" t="n"/>
      <c r="AB10" s="68" t="n"/>
      <c r="AC10" s="68" t="n"/>
      <c r="AD10" s="68" t="n"/>
      <c r="AE10" s="68" t="n"/>
      <c r="AF10" s="68" t="n"/>
      <c r="AG10" s="68" t="n"/>
      <c r="AH10" s="68" t="n"/>
      <c r="AI10" s="68" t="n"/>
      <c r="AJ10" s="69" t="n"/>
    </row>
    <row r="11">
      <c r="A11" s="59">
        <f>row()-2</f>
        <v/>
      </c>
      <c r="B11" s="60" t="inlineStr">
        <is>
          <t>TC_AGCY_LIST_010</t>
        </is>
      </c>
      <c r="C11" s="71" t="inlineStr">
        <is>
          <t>Điều hướng (AW_AGCY_001)</t>
        </is>
      </c>
      <c r="D11" s="63" t="inlineStr">
        <is>
          <t>Functional</t>
        </is>
      </c>
      <c r="E11" s="63" t="inlineStr">
        <is>
          <t>High</t>
        </is>
      </c>
      <c r="F11" s="63" t="inlineStr">
        <is>
          <t>AC-01 / AW_AGCY_001</t>
        </is>
      </c>
      <c r="G11" s="63" t="inlineStr">
        <is>
          <t>Check System Admin click vào 1 đại lý trong danh sách điều hướng đúng sang màn hình Agency Detail</t>
        </is>
      </c>
      <c r="H11" s="71" t="inlineStr">
        <is>
          <t>Có ít nhất 1 đại lý "Đại lý Minh Thành" trong danh sách. Admin ở màn hình Danh sách.</t>
        </is>
      </c>
      <c r="I11" s="63" t="inlineStr">
        <is>
          <t>1. Nhấp vào hàng "Đại lý Minh Thành" trong bảng</t>
        </is>
      </c>
      <c r="J11" s="70" t="inlineStr">
        <is>
          <t>- Điều hướng sang màn hình Agency Detail của "Đại lý Minh Thành" (AW_AGCY_003)
- URL hoặc route thay đổi phù hợp
- Thông tin "Đại lý Minh Thành" hiển thị đúng ở màn hình Detail</t>
        </is>
      </c>
      <c r="K11" s="70" t="inlineStr">
        <is>
          <t>Đại lý "Đại lý Minh Thành" (đã có ID hệ thống)</t>
        </is>
      </c>
      <c r="L11" s="70" t="inlineStr">
        <is>
          <t>High</t>
        </is>
      </c>
      <c r="M11" s="65" t="n"/>
      <c r="N11" s="66" t="n"/>
      <c r="O11" s="81" t="n"/>
      <c r="P11" s="70" t="n"/>
      <c r="Q11" s="65" t="n"/>
      <c r="R11" s="66" t="n"/>
      <c r="S11" s="81" t="n"/>
      <c r="T11" s="70" t="n"/>
      <c r="U11" s="70" t="n"/>
      <c r="V11" s="70" t="n"/>
      <c r="W11" s="70" t="inlineStr">
        <is>
          <t>Điều hướng sang Story 10 (AW_AGCY_003) — ngoài scope module này</t>
        </is>
      </c>
      <c r="X11" s="68" t="n"/>
      <c r="Y11" s="68" t="n"/>
      <c r="Z11" s="68" t="n"/>
      <c r="AA11" s="68" t="n"/>
      <c r="AB11" s="68" t="n"/>
      <c r="AC11" s="68" t="n"/>
      <c r="AD11" s="68" t="n"/>
      <c r="AE11" s="68" t="n"/>
      <c r="AF11" s="68" t="n"/>
      <c r="AG11" s="68" t="n"/>
      <c r="AH11" s="68" t="n"/>
      <c r="AI11" s="68" t="n"/>
      <c r="AJ11" s="69" t="n"/>
    </row>
    <row r="12">
      <c r="A12" s="59">
        <f>row()-2</f>
        <v/>
      </c>
      <c r="B12" s="60" t="inlineStr">
        <is>
          <t>TC_AGCY_LIST_011</t>
        </is>
      </c>
      <c r="C12" s="71" t="inlineStr">
        <is>
          <t>Phân quyền (AW_AGCY_001)</t>
        </is>
      </c>
      <c r="D12" s="63" t="inlineStr">
        <is>
          <t>Permission</t>
        </is>
      </c>
      <c r="E12" s="63" t="inlineStr">
        <is>
          <t>High</t>
        </is>
      </c>
      <c r="F12" s="63" t="inlineStr">
        <is>
          <t>AC-01 / AW_AGCY_001</t>
        </is>
      </c>
      <c r="G12" s="63" t="inlineStr">
        <is>
          <t>Check người dùng không có role System Admin bị từ chối truy cập màn hình Danh sách Đại lý</t>
        </is>
      </c>
      <c r="H12" s="71" t="inlineStr">
        <is>
          <t>Đã đăng nhập bằng tài khoản không có role System Admin (VD Company Admin E02).</t>
        </is>
      </c>
      <c r="I12" s="63" t="inlineStr">
        <is>
          <t>1. Dùng tài khoản non-System-Admin truy cập trực tiếp URL màn hình Danh sách Đại lý</t>
        </is>
      </c>
      <c r="J12" s="70" t="inlineStr">
        <is>
          <t>- Hệ thống từ chối truy cập
- Hiển thị trang 403 Forbidden hoặc redirect về trang chủ
- Không lộ dữ liệu đại lý dưới bất kỳ hình thức nào</t>
        </is>
      </c>
      <c r="K12" s="70" t="inlineStr">
        <is>
          <t>Tài khoản: company_admin_qc@eskitchen.jp (role E02, không có quyền System Admin)</t>
        </is>
      </c>
      <c r="L12" s="70" t="inlineStr">
        <is>
          <t>Critical</t>
        </is>
      </c>
      <c r="M12" s="65" t="n"/>
      <c r="N12" s="66" t="n"/>
      <c r="O12" s="81" t="n"/>
      <c r="P12" s="70" t="n"/>
      <c r="Q12" s="65" t="n"/>
      <c r="R12" s="66" t="n"/>
      <c r="S12" s="81" t="n"/>
      <c r="T12" s="70" t="n"/>
      <c r="U12" s="70" t="n"/>
      <c r="V12" s="70" t="n"/>
      <c r="W12" s="70" t="inlineStr">
        <is>
          <t>—</t>
        </is>
      </c>
      <c r="X12" s="68" t="n"/>
      <c r="Y12" s="68" t="n"/>
      <c r="Z12" s="68" t="n"/>
      <c r="AA12" s="68" t="n"/>
      <c r="AB12" s="68" t="n"/>
      <c r="AC12" s="68" t="n"/>
      <c r="AD12" s="68" t="n"/>
      <c r="AE12" s="68" t="n"/>
      <c r="AF12" s="68" t="n"/>
      <c r="AG12" s="68" t="n"/>
      <c r="AH12" s="68" t="n"/>
      <c r="AI12" s="68" t="n"/>
      <c r="AJ12" s="69" t="n"/>
    </row>
    <row r="13">
      <c r="A13" s="59">
        <f>row()-2</f>
        <v/>
      </c>
      <c r="B13" s="60" t="inlineStr">
        <is>
          <t>TC_AGCY_LIST_012</t>
        </is>
      </c>
      <c r="C13" s="71" t="inlineStr">
        <is>
          <t>Form Đăng ký Đại lý (AW_AGCY_002)</t>
        </is>
      </c>
      <c r="D13" s="63" t="inlineStr">
        <is>
          <t>UI</t>
        </is>
      </c>
      <c r="E13" s="63" t="inlineStr">
        <is>
          <t>Low</t>
        </is>
      </c>
      <c r="F13" s="63" t="inlineStr">
        <is>
          <t>AC-02 / AW_AGCY_002</t>
        </is>
      </c>
      <c r="G13" s="63" t="inlineStr">
        <is>
          <t>[UI Visual] Check form Đăng ký Đại lý Mới hiển thị đúng layout tổng thể</t>
        </is>
      </c>
      <c r="H13" s="71" t="inlineStr">
        <is>
          <t>Admin đang ở màn hình Danh sách Đại lý.</t>
        </is>
      </c>
      <c r="I13" s="63" t="inlineStr">
        <is>
          <t>1. Nhấn nút [Đăng ký mới]
2. Quan sát màn hình form</t>
        </is>
      </c>
      <c r="J13" s="70" t="inlineStr">
        <is>
          <t>- Form hiển thị các trường thông tin: Tên đại lý, Thông tin liên hệ, Điều kiện hợp đồng, Tỷ lệ hoa hồng
- Trường bắt buộc có ký hiệu visual (VD dấu * đỏ)
- Nút [Lưu] và nút Hủy/Back hiển thị
- Layout không bị vỡ</t>
        </is>
      </c>
      <c r="K13" s="70" t="inlineStr">
        <is>
          <t>Tài khoản: admin_qc_01@eskitchen.jp</t>
        </is>
      </c>
      <c r="L13" s="70" t="inlineStr">
        <is>
          <t>Medium</t>
        </is>
      </c>
      <c r="M13" s="65" t="n"/>
      <c r="N13" s="66" t="n"/>
      <c r="O13" s="81" t="n"/>
      <c r="P13" s="70" t="n"/>
      <c r="Q13" s="65" t="n"/>
      <c r="R13" s="66" t="n"/>
      <c r="S13" s="81" t="n"/>
      <c r="T13" s="70" t="n"/>
      <c r="U13" s="70" t="n"/>
      <c r="V13" s="70" t="n"/>
      <c r="W13" s="70" t="inlineStr">
        <is>
          <t>⚠️ Figma chưa đọc được. Danh sách trường đầy đủ chờ BA confirm (TODO AF-02)</t>
        </is>
      </c>
      <c r="X13" s="68" t="n"/>
      <c r="Y13" s="68" t="n"/>
      <c r="Z13" s="68" t="n"/>
      <c r="AA13" s="68" t="n"/>
      <c r="AB13" s="68" t="n"/>
      <c r="AC13" s="68" t="n"/>
      <c r="AD13" s="68" t="n"/>
      <c r="AE13" s="68" t="n"/>
      <c r="AF13" s="68" t="n"/>
      <c r="AG13" s="68" t="n"/>
      <c r="AH13" s="68" t="n"/>
      <c r="AI13" s="68" t="n"/>
      <c r="AJ13" s="69" t="n"/>
    </row>
    <row r="14">
      <c r="A14" s="59">
        <f>row()-2</f>
        <v/>
      </c>
      <c r="B14" s="60" t="inlineStr">
        <is>
          <t>TC_AGCY_LIST_013</t>
        </is>
      </c>
      <c r="C14" s="71" t="inlineStr">
        <is>
          <t>Form Đăng ký Đại lý (AW_AGCY_002)</t>
        </is>
      </c>
      <c r="D14" s="63" t="inlineStr">
        <is>
          <t>Functional</t>
        </is>
      </c>
      <c r="E14" s="63" t="inlineStr">
        <is>
          <t>High</t>
        </is>
      </c>
      <c r="F14" s="63" t="inlineStr">
        <is>
          <t>AC-02 / AW_AGCY_002</t>
        </is>
      </c>
      <c r="G14" s="63" t="inlineStr">
        <is>
          <t>Check System Admin điền đầy đủ thông tin hợp lệ và nhấn [Lưu] tạo đại lý thành công</t>
        </is>
      </c>
      <c r="H14" s="71" t="inlineStr">
        <is>
          <t>Admin ở màn hình Đăng ký Đại lý Mới. Tên "Đại lý Mới Kiểm Thử" chưa tồn tại trong hệ thống.</t>
        </is>
      </c>
      <c r="I14" s="63" t="inlineStr">
        <is>
          <t>1. Nhập Tên đại lý: "Đại lý Mới Kiểm Thử"
2. Điền thông tin liên hệ hợp lệ
3. Điền điều kiện hợp đồng hợp lệ
4. Nhập Tỷ lệ hoa hồng: 5
5. Nhấn [Lưu]</t>
        </is>
      </c>
      <c r="J14" s="70" t="inlineStr">
        <is>
          <t>- Không có lỗi inline trên bất kỳ trường nào
- Bản ghi đại lý mới được tạo thành công
- Điều hướng về màn hình Danh sách (AW_AGCY_001)
- Toast hoặc notification thành công hiển thị
- "Đại lý Mới Kiểm Thử" xuất hiện trong danh sách</t>
        </is>
      </c>
      <c r="K14" s="70" t="inlineStr">
        <is>
          <t>Tên đại lý: "Đại lý Mới Kiểm Thử"
Tỷ lệ hoa hồng: 5</t>
        </is>
      </c>
      <c r="L14" s="70" t="inlineStr">
        <is>
          <t>Critical</t>
        </is>
      </c>
      <c r="M14" s="65" t="n"/>
      <c r="N14" s="66" t="n"/>
      <c r="O14" s="81" t="n"/>
      <c r="P14" s="70" t="n"/>
      <c r="Q14" s="65" t="n"/>
      <c r="R14" s="66" t="n"/>
      <c r="S14" s="81" t="n"/>
      <c r="T14" s="70" t="n"/>
      <c r="U14" s="70" t="n"/>
      <c r="V14" s="70" t="n"/>
      <c r="W14" s="70" t="inlineStr">
        <is>
          <t>⚠️ Cần BA confirm: giá trị hợp lệ cho các trường Thông tin liên hệ và Điều kiện hợp đồng</t>
        </is>
      </c>
      <c r="X14" s="68" t="n"/>
      <c r="Y14" s="68" t="n"/>
      <c r="Z14" s="68" t="n"/>
      <c r="AA14" s="68" t="n"/>
      <c r="AB14" s="68" t="n"/>
      <c r="AC14" s="68" t="n"/>
      <c r="AD14" s="68" t="n"/>
      <c r="AE14" s="68" t="n"/>
      <c r="AF14" s="68" t="n"/>
      <c r="AG14" s="68" t="n"/>
      <c r="AH14" s="68" t="n"/>
      <c r="AI14" s="68" t="n"/>
      <c r="AJ14" s="69" t="n"/>
    </row>
    <row r="15">
      <c r="A15" s="59">
        <f>row()-2</f>
        <v/>
      </c>
      <c r="B15" s="60" t="inlineStr">
        <is>
          <t>TC_AGCY_LIST_014</t>
        </is>
      </c>
      <c r="C15" s="71" t="inlineStr">
        <is>
          <t>Trạng thái mặc định (AW_AGCY_002)</t>
        </is>
      </c>
      <c r="D15" s="63" t="inlineStr">
        <is>
          <t>Functional</t>
        </is>
      </c>
      <c r="E15" s="63" t="inlineStr">
        <is>
          <t>High</t>
        </is>
      </c>
      <c r="F15" s="63" t="inlineStr">
        <is>
          <t>AC-02 / AW_AGCY_002</t>
        </is>
      </c>
      <c r="G15" s="63" t="inlineStr">
        <is>
          <t>Check đại lý mới tạo thành công có trạng thái mặc định là "Đang chạy"</t>
        </is>
      </c>
      <c r="H15" s="71" t="inlineStr">
        <is>
          <t>Vừa hoàn thành đăng ký thành công "Đại lý Mới Kiểm Thử" (TC_AGCY_LIST_013). Admin đang ở màn hình Danh sách.</t>
        </is>
      </c>
      <c r="I15" s="63" t="inlineStr">
        <is>
          <t>1. Quan sát hàng "Đại lý Mới Kiểm Thử" trong danh sách</t>
        </is>
      </c>
      <c r="J15" s="70" t="inlineStr">
        <is>
          <t>- Hàng "Đại lý Mới Kiểm Thử" hiển thị trong bảng
- Cột Trạng thái = "Đang chạy"
- Không hiển thị trạng thái nào khác (VD "Đã hủy" hay "Nháp")</t>
        </is>
      </c>
      <c r="K15" s="70" t="inlineStr">
        <is>
          <t>Đại lý "Đại lý Mới Kiểm Thử" vừa tạo ở TC_AGCY_LIST_013</t>
        </is>
      </c>
      <c r="L15" s="70" t="inlineStr">
        <is>
          <t>Critical</t>
        </is>
      </c>
      <c r="M15" s="65" t="n"/>
      <c r="N15" s="66" t="n"/>
      <c r="O15" s="81" t="n"/>
      <c r="P15" s="70" t="n"/>
      <c r="Q15" s="65" t="n"/>
      <c r="R15" s="66" t="n"/>
      <c r="S15" s="81" t="n"/>
      <c r="T15" s="70" t="n"/>
      <c r="U15" s="70" t="n"/>
      <c r="V15" s="70" t="n"/>
      <c r="W15" s="70" t="inlineStr">
        <is>
          <t>—</t>
        </is>
      </c>
      <c r="X15" s="68" t="n"/>
      <c r="Y15" s="68" t="n"/>
      <c r="Z15" s="68" t="n"/>
      <c r="AA15" s="68" t="n"/>
      <c r="AB15" s="68" t="n"/>
      <c r="AC15" s="68" t="n"/>
      <c r="AD15" s="68" t="n"/>
      <c r="AE15" s="68" t="n"/>
      <c r="AF15" s="68" t="n"/>
      <c r="AG15" s="68" t="n"/>
      <c r="AH15" s="68" t="n"/>
      <c r="AI15" s="68" t="n"/>
      <c r="AJ15" s="69" t="n"/>
    </row>
    <row r="16">
      <c r="A16" s="59">
        <f>row()-2</f>
        <v/>
      </c>
      <c r="B16" s="60" t="inlineStr">
        <is>
          <t>TC_AGCY_LIST_015</t>
        </is>
      </c>
      <c r="C16" s="71" t="inlineStr">
        <is>
          <t>Validation tên đại lý (AW_AGCY_002)</t>
        </is>
      </c>
      <c r="D16" s="63" t="inlineStr">
        <is>
          <t>Validation</t>
        </is>
      </c>
      <c r="E16" s="63" t="inlineStr">
        <is>
          <t>High</t>
        </is>
      </c>
      <c r="F16" s="63" t="inlineStr">
        <is>
          <t>AC-02 / AW_AGCY_002</t>
        </is>
      </c>
      <c r="G16" s="63" t="inlineStr">
        <is>
          <t>Check hệ thống từ chối tạo đại lý khi tên nhập vào đã tồn tại trong hệ thống (AF-01)</t>
        </is>
      </c>
      <c r="H16" s="63" t="inlineStr">
        <is>
          <t>Đại lý "Đại lý Minh Thành" đã tồn tại trong DB. Admin ở form Đăng ký Đại lý Mới.</t>
        </is>
      </c>
      <c r="I16" s="63" t="inlineStr">
        <is>
          <t>1. Nhập Tên đại lý: "Đại lý Minh Thành"
2. Điền các trường bắt buộc còn lại hợp lệ
3. Nhấn [Lưu]</t>
        </is>
      </c>
      <c r="J16" s="70" t="inlineStr">
        <is>
          <t>- Hệ thống không tạo bản ghi mới
- Hiển thị thông báo lỗi: "Tên đại lý đã tồn tại."
- Form giữ nguyên dữ liệu đã nhập, không bị xóa trắng
- Không điều hướng khỏi màn hình form</t>
        </is>
      </c>
      <c r="K16" s="70" t="inlineStr">
        <is>
          <t>Tên đại lý: "Đại lý Minh Thành" (đã tồn tại trong DB)</t>
        </is>
      </c>
      <c r="L16" s="70" t="inlineStr">
        <is>
          <t>Critical</t>
        </is>
      </c>
      <c r="M16" s="65" t="n"/>
      <c r="N16" s="66" t="n"/>
      <c r="O16" s="81" t="n"/>
      <c r="P16" s="70" t="n"/>
      <c r="Q16" s="65" t="n"/>
      <c r="R16" s="66" t="n"/>
      <c r="S16" s="81" t="n"/>
      <c r="T16" s="70" t="n"/>
      <c r="U16" s="70" t="n"/>
      <c r="V16" s="70" t="n"/>
      <c r="W16" s="70" t="inlineStr">
        <is>
          <t>Thông báo lỗi theo AF-01: "Tên đại lý đã tồn tại."</t>
        </is>
      </c>
      <c r="X16" s="68" t="n"/>
      <c r="Y16" s="68" t="n"/>
      <c r="Z16" s="68" t="n"/>
      <c r="AA16" s="68" t="n"/>
      <c r="AB16" s="68" t="n"/>
      <c r="AC16" s="68" t="n"/>
      <c r="AD16" s="68" t="n"/>
      <c r="AE16" s="68" t="n"/>
      <c r="AF16" s="68" t="n"/>
      <c r="AG16" s="68" t="n"/>
      <c r="AH16" s="68" t="n"/>
      <c r="AI16" s="68" t="n"/>
      <c r="AJ16" s="69" t="n"/>
    </row>
    <row r="17">
      <c r="A17" s="59">
        <f>row()-2</f>
        <v/>
      </c>
      <c r="B17" s="60" t="inlineStr">
        <is>
          <t>TC_AGCY_LIST_016</t>
        </is>
      </c>
      <c r="C17" s="71" t="inlineStr">
        <is>
          <t>Validation tên đại lý (AW_AGCY_002)</t>
        </is>
      </c>
      <c r="D17" s="63" t="inlineStr">
        <is>
          <t>Validation</t>
        </is>
      </c>
      <c r="E17" s="63" t="inlineStr">
        <is>
          <t>High</t>
        </is>
      </c>
      <c r="F17" s="63" t="inlineStr">
        <is>
          <t>AC-02 / AW_AGCY_002</t>
        </is>
      </c>
      <c r="G17" s="63" t="inlineStr">
        <is>
          <t>Check hệ thống hiển thị lỗi inline khi tên đại lý (trường bắt buộc) bị bỏ trống (AF-02)</t>
        </is>
      </c>
      <c r="H17" s="63" t="inlineStr">
        <is>
          <t>Admin ở form Đăng ký Đại lý Mới. Tất cả trường khác đã điền hợp lệ.</t>
        </is>
      </c>
      <c r="I17" s="63" t="inlineStr">
        <is>
          <t>1. Để trống trường Tên đại lý
2. Nhấn [Lưu]</t>
        </is>
      </c>
      <c r="J17" s="70" t="inlineStr">
        <is>
          <t>- Form không submit
- Lỗi inline hiển thị ngay tại trường Tên đại lý (VD "Tên đại lý là bắt buộc")
- Không điều hướng khỏi màn hình
- Không có toast success</t>
        </is>
      </c>
      <c r="K17" s="70" t="inlineStr">
        <is>
          <t>Tên đại lý: "" (rỗng)</t>
        </is>
      </c>
      <c r="L17" s="70" t="inlineStr">
        <is>
          <t>Critical</t>
        </is>
      </c>
      <c r="M17" s="65" t="n"/>
      <c r="N17" s="66" t="n"/>
      <c r="O17" s="81" t="n"/>
      <c r="P17" s="70" t="n"/>
      <c r="Q17" s="65" t="n"/>
      <c r="R17" s="66" t="n"/>
      <c r="S17" s="81" t="n"/>
      <c r="T17" s="70" t="n"/>
      <c r="U17" s="81" t="n"/>
      <c r="V17" s="81" t="n"/>
      <c r="W17" s="81" t="inlineStr">
        <is>
          <t>—</t>
        </is>
      </c>
      <c r="X17" s="68" t="n"/>
      <c r="Y17" s="68" t="n"/>
      <c r="Z17" s="68" t="n"/>
      <c r="AA17" s="68" t="n"/>
      <c r="AB17" s="68" t="n"/>
      <c r="AC17" s="68" t="n"/>
      <c r="AD17" s="68" t="n"/>
      <c r="AE17" s="68" t="n"/>
      <c r="AF17" s="68" t="n"/>
      <c r="AG17" s="68" t="n"/>
      <c r="AH17" s="68" t="n"/>
      <c r="AI17" s="68" t="n"/>
      <c r="AJ17" s="69" t="n"/>
    </row>
    <row r="18">
      <c r="A18" s="59">
        <f>row()-2</f>
        <v/>
      </c>
      <c r="B18" s="60" t="inlineStr">
        <is>
          <t>TC_AGCY_LIST_017</t>
        </is>
      </c>
      <c r="C18" s="71" t="inlineStr">
        <is>
          <t>Validation tên đại lý (AW_AGCY_002)</t>
        </is>
      </c>
      <c r="D18" s="63" t="inlineStr">
        <is>
          <t>Validation</t>
        </is>
      </c>
      <c r="E18" s="63" t="inlineStr">
        <is>
          <t>High</t>
        </is>
      </c>
      <c r="F18" s="63" t="inlineStr">
        <is>
          <t>AC-02 / AW_AGCY_002</t>
        </is>
      </c>
      <c r="G18" s="63" t="inlineStr">
        <is>
          <t>Check hệ thống từ chối tên đại lý chỉ gồm khoảng trắng (whitespace-only)</t>
        </is>
      </c>
      <c r="H18" s="63" t="inlineStr">
        <is>
          <t>Admin ở form Đăng ký Đại lý Mới.</t>
        </is>
      </c>
      <c r="I18" s="63" t="inlineStr">
        <is>
          <t>1. Nhập Tên đại lý: 5 khoảng trắng "     "
2. Nhấn [Lưu]</t>
        </is>
      </c>
      <c r="J18" s="70" t="inlineStr">
        <is>
          <t>- Form không submit
- Lỗi inline: tên đại lý không hợp lệ (whitespace-only được coi là rỗng)
- Không tạo bản ghi</t>
        </is>
      </c>
      <c r="K18" s="70" t="inlineStr">
        <is>
          <t>Tên đại lý: "     " (5 dấu cách)</t>
        </is>
      </c>
      <c r="L18" s="70" t="inlineStr">
        <is>
          <t>High</t>
        </is>
      </c>
      <c r="M18" s="65" t="n"/>
      <c r="N18" s="66" t="n"/>
      <c r="O18" s="81" t="n"/>
      <c r="P18" s="70" t="n"/>
      <c r="Q18" s="65" t="n"/>
      <c r="R18" s="66" t="n"/>
      <c r="S18" s="81" t="n"/>
      <c r="T18" s="70" t="n"/>
      <c r="U18" s="81" t="n"/>
      <c r="V18" s="81" t="n"/>
      <c r="W18" s="81" t="inlineStr">
        <is>
          <t>—</t>
        </is>
      </c>
      <c r="X18" s="68" t="n"/>
      <c r="Y18" s="68" t="n"/>
      <c r="Z18" s="68" t="n"/>
      <c r="AA18" s="68" t="n"/>
      <c r="AB18" s="68" t="n"/>
      <c r="AC18" s="68" t="n"/>
      <c r="AD18" s="68" t="n"/>
      <c r="AE18" s="68" t="n"/>
      <c r="AF18" s="68" t="n"/>
      <c r="AG18" s="68" t="n"/>
      <c r="AH18" s="68" t="n"/>
      <c r="AI18" s="68" t="n"/>
      <c r="AJ18" s="69" t="n"/>
    </row>
    <row r="19">
      <c r="A19" s="59">
        <f>row()-2</f>
        <v/>
      </c>
      <c r="B19" s="60" t="inlineStr">
        <is>
          <t>TC_AGCY_LIST_018</t>
        </is>
      </c>
      <c r="C19" s="71" t="inlineStr">
        <is>
          <t>Validation tên đại lý (AW_AGCY_002)</t>
        </is>
      </c>
      <c r="D19" s="63" t="inlineStr">
        <is>
          <t>Boundary</t>
        </is>
      </c>
      <c r="E19" s="63" t="inlineStr">
        <is>
          <t>Medium</t>
        </is>
      </c>
      <c r="F19" s="63" t="inlineStr">
        <is>
          <t>AC-02 / AW_AGCY_002</t>
        </is>
      </c>
      <c r="G19" s="63" t="inlineStr">
        <is>
          <t>Check hệ thống từ chối tên đại lý vượt quá độ dài tối đa cho phép</t>
        </is>
      </c>
      <c r="H19" s="71" t="inlineStr">
        <is>
          <t>Admin ở form Đăng ký Đại lý Mới. Max length = N ký tự (TBD).</t>
        </is>
      </c>
      <c r="I19" s="63" t="inlineStr">
        <is>
          <t>1. Nhập tên đại lý gồm N+1 ký tự (chuỗi "A" lặp N+1 lần)
2. Nhấn [Lưu]</t>
        </is>
      </c>
      <c r="J19" s="70" t="inlineStr">
        <is>
          <t>- Trường bị chặn nhập vượt N ký tự (UI không cho nhập thêm) HOẶC lỗi inline khi submit: "Tên đại lý quá dài"
- Không tạo bản ghi với tên vượt giới hạn</t>
        </is>
      </c>
      <c r="K19" s="70" t="inlineStr">
        <is>
          <t>Tên đại lý: chuỗi 256 ký tự "A" x 256 (giả sử max = 255)</t>
        </is>
      </c>
      <c r="L19" s="70" t="inlineStr">
        <is>
          <t>Medium</t>
        </is>
      </c>
      <c r="M19" s="65" t="n"/>
      <c r="N19" s="66" t="n"/>
      <c r="O19" s="81" t="n"/>
      <c r="P19" s="70" t="n"/>
      <c r="Q19" s="65" t="n"/>
      <c r="R19" s="66" t="n"/>
      <c r="S19" s="81" t="n"/>
      <c r="T19" s="70" t="n"/>
      <c r="U19" s="70" t="n"/>
      <c r="V19" s="70" t="n"/>
      <c r="W19" s="70" t="inlineStr">
        <is>
          <t>⚠️ Cần BA confirm: max length của trường Tên đại lý — hiện dùng 255 làm giả định tạm</t>
        </is>
      </c>
      <c r="X19" s="68" t="n"/>
      <c r="Y19" s="68" t="n"/>
      <c r="Z19" s="68" t="n"/>
      <c r="AA19" s="68" t="n"/>
      <c r="AB19" s="68" t="n"/>
      <c r="AC19" s="68" t="n"/>
      <c r="AD19" s="68" t="n"/>
      <c r="AE19" s="68" t="n"/>
      <c r="AF19" s="68" t="n"/>
      <c r="AG19" s="68" t="n"/>
      <c r="AH19" s="68" t="n"/>
      <c r="AI19" s="68" t="n"/>
      <c r="AJ19" s="69" t="n"/>
    </row>
    <row r="20">
      <c r="A20" s="59">
        <f>row()-2</f>
        <v/>
      </c>
      <c r="B20" s="60" t="inlineStr">
        <is>
          <t>TC_AGCY_LIST_019</t>
        </is>
      </c>
      <c r="C20" s="71" t="inlineStr">
        <is>
          <t>Validation tỷ lệ hoa hồng (AW_AGCY_002)</t>
        </is>
      </c>
      <c r="D20" s="63" t="inlineStr">
        <is>
          <t>Validation</t>
        </is>
      </c>
      <c r="E20" s="63" t="inlineStr">
        <is>
          <t>High</t>
        </is>
      </c>
      <c r="F20" s="63" t="inlineStr">
        <is>
          <t>AC-02 / AW_AGCY_002</t>
        </is>
      </c>
      <c r="G20" s="63" t="inlineStr">
        <is>
          <t>Check hệ thống từ chối giá trị âm cho trường tỷ lệ hoa hồng</t>
        </is>
      </c>
      <c r="H20" s="71" t="inlineStr">
        <is>
          <t>Admin ở form Đăng ký Đại lý Mới. Tất cả trường khác hợp lệ.</t>
        </is>
      </c>
      <c r="I20" s="63" t="inlineStr">
        <is>
          <t>1. Nhập Tỷ lệ hoa hồng: -1
2. Nhấn [Lưu]</t>
        </is>
      </c>
      <c r="J20" s="70" t="inlineStr">
        <is>
          <t>- Form không submit
- Lỗi inline tại trường Tỷ lệ hoa hồng: giá trị phải &gt;= 0
- Không tạo bản ghi</t>
        </is>
      </c>
      <c r="K20" s="70" t="inlineStr">
        <is>
          <t>Tỷ lệ hoa hồng: -1</t>
        </is>
      </c>
      <c r="L20" s="70" t="inlineStr">
        <is>
          <t>High</t>
        </is>
      </c>
      <c r="M20" s="65" t="n"/>
      <c r="N20" s="66" t="n"/>
      <c r="O20" s="81" t="n"/>
      <c r="P20" s="70" t="n"/>
      <c r="Q20" s="65" t="n"/>
      <c r="R20" s="66" t="n"/>
      <c r="S20" s="81" t="n"/>
      <c r="T20" s="70" t="n"/>
      <c r="U20" s="70" t="n"/>
      <c r="V20" s="70" t="n"/>
      <c r="W20" s="70" t="inlineStr">
        <is>
          <t>—</t>
        </is>
      </c>
      <c r="X20" s="68" t="n"/>
      <c r="Y20" s="68" t="n"/>
      <c r="Z20" s="68" t="n"/>
      <c r="AA20" s="68" t="n"/>
      <c r="AB20" s="68" t="n"/>
      <c r="AC20" s="68" t="n"/>
      <c r="AD20" s="68" t="n"/>
      <c r="AE20" s="68" t="n"/>
      <c r="AF20" s="68" t="n"/>
      <c r="AG20" s="68" t="n"/>
      <c r="AH20" s="68" t="n"/>
      <c r="AI20" s="68" t="n"/>
      <c r="AJ20" s="69" t="n"/>
    </row>
    <row r="21">
      <c r="A21" s="59">
        <f>row()-2</f>
        <v/>
      </c>
      <c r="B21" s="60" t="inlineStr">
        <is>
          <t>TC_AGCY_LIST_020</t>
        </is>
      </c>
      <c r="C21" s="71" t="inlineStr">
        <is>
          <t>Validation tỷ lệ hoa hồng (AW_AGCY_002)</t>
        </is>
      </c>
      <c r="D21" s="63" t="inlineStr">
        <is>
          <t>Validation</t>
        </is>
      </c>
      <c r="E21" s="63" t="inlineStr">
        <is>
          <t>High</t>
        </is>
      </c>
      <c r="F21" s="63" t="inlineStr">
        <is>
          <t>AC-02 / AW_AGCY_002</t>
        </is>
      </c>
      <c r="G21" s="63" t="inlineStr">
        <is>
          <t>Check hệ thống từ chối tỷ lệ hoa hồng lớn hơn 100%</t>
        </is>
      </c>
      <c r="H21" s="71" t="inlineStr">
        <is>
          <t>Admin ở form Đăng ký Đại lý Mới. Tất cả trường khác hợp lệ.</t>
        </is>
      </c>
      <c r="I21" s="63" t="inlineStr">
        <is>
          <t>1. Nhập Tỷ lệ hoa hồng: 101
2. Nhấn [Lưu]</t>
        </is>
      </c>
      <c r="J21" s="70" t="inlineStr">
        <is>
          <t>- Form không submit
- Lỗi inline: tỷ lệ hoa hồng phải nằm trong khoảng 0 đến 100
- Không tạo bản ghi</t>
        </is>
      </c>
      <c r="K21" s="70" t="inlineStr">
        <is>
          <t>Tỷ lệ hoa hồng: 101</t>
        </is>
      </c>
      <c r="L21" s="70" t="inlineStr">
        <is>
          <t>High</t>
        </is>
      </c>
      <c r="M21" s="65" t="n"/>
      <c r="N21" s="66" t="n"/>
      <c r="O21" s="81" t="n"/>
      <c r="P21" s="70" t="n"/>
      <c r="Q21" s="65" t="n"/>
      <c r="R21" s="66" t="n"/>
      <c r="S21" s="81" t="n"/>
      <c r="T21" s="70" t="n"/>
      <c r="U21" s="70" t="n"/>
      <c r="V21" s="70" t="n"/>
      <c r="W21" s="70" t="inlineStr">
        <is>
          <t>⚠️ Cần BA confirm: giới hạn tối đa là 100% hay có thể cao hơn?</t>
        </is>
      </c>
      <c r="X21" s="68" t="n"/>
      <c r="Y21" s="68" t="n"/>
      <c r="Z21" s="68" t="n"/>
      <c r="AA21" s="68" t="n"/>
      <c r="AB21" s="68" t="n"/>
      <c r="AC21" s="68" t="n"/>
      <c r="AD21" s="68" t="n"/>
      <c r="AE21" s="68" t="n"/>
      <c r="AF21" s="68" t="n"/>
      <c r="AG21" s="68" t="n"/>
      <c r="AH21" s="68" t="n"/>
      <c r="AI21" s="68" t="n"/>
      <c r="AJ21" s="69" t="n"/>
    </row>
    <row r="22">
      <c r="A22" s="59">
        <f>row()-2</f>
        <v/>
      </c>
      <c r="B22" s="60" t="inlineStr">
        <is>
          <t>TC_AGCY_LIST_021</t>
        </is>
      </c>
      <c r="C22" s="71" t="inlineStr">
        <is>
          <t>Validation tỷ lệ hoa hồng (AW_AGCY_002)</t>
        </is>
      </c>
      <c r="D22" s="63" t="inlineStr">
        <is>
          <t>Validation</t>
        </is>
      </c>
      <c r="E22" s="63" t="inlineStr">
        <is>
          <t>Medium</t>
        </is>
      </c>
      <c r="F22" s="63" t="inlineStr">
        <is>
          <t>AC-02 / AW_AGCY_002</t>
        </is>
      </c>
      <c r="G22" s="63" t="inlineStr">
        <is>
          <t>Check hệ thống từ chối ký tự không phải số trong trường tỷ lệ hoa hồng</t>
        </is>
      </c>
      <c r="H22" s="71" t="inlineStr">
        <is>
          <t>Admin ở form Đăng ký Đại lý Mới.</t>
        </is>
      </c>
      <c r="I22" s="63" t="inlineStr">
        <is>
          <t>1. Nhập Tỷ lệ hoa hồng: "abc"
2. Nhấn [Lưu]</t>
        </is>
      </c>
      <c r="J22" s="70" t="inlineStr">
        <is>
          <t>- UI không cho nhập chữ cái (field type number tự chặn) HOẶC lỗi inline: "Tỷ lệ hoa hồng phải là số"
- Không tạo bản ghi</t>
        </is>
      </c>
      <c r="K22" s="70" t="inlineStr">
        <is>
          <t>Tỷ lệ hoa hồng: "abc"</t>
        </is>
      </c>
      <c r="L22" s="70" t="inlineStr">
        <is>
          <t>Medium</t>
        </is>
      </c>
      <c r="M22" s="65" t="n"/>
      <c r="N22" s="66" t="n"/>
      <c r="O22" s="81" t="n"/>
      <c r="P22" s="70" t="n"/>
      <c r="Q22" s="65" t="n"/>
      <c r="R22" s="66" t="n"/>
      <c r="S22" s="81" t="n"/>
      <c r="T22" s="70" t="n"/>
      <c r="U22" s="70" t="n"/>
      <c r="V22" s="70" t="n"/>
      <c r="W22" s="70" t="inlineStr">
        <is>
          <t>—</t>
        </is>
      </c>
      <c r="X22" s="68" t="n"/>
      <c r="Y22" s="68" t="n"/>
      <c r="Z22" s="68" t="n"/>
      <c r="AA22" s="68" t="n"/>
      <c r="AB22" s="68" t="n"/>
      <c r="AC22" s="68" t="n"/>
      <c r="AD22" s="68" t="n"/>
      <c r="AE22" s="68" t="n"/>
      <c r="AF22" s="68" t="n"/>
      <c r="AG22" s="68" t="n"/>
      <c r="AH22" s="68" t="n"/>
      <c r="AI22" s="68" t="n"/>
      <c r="AJ22" s="69" t="n"/>
    </row>
    <row r="23">
      <c r="A23" s="59">
        <f>row()-2</f>
        <v/>
      </c>
      <c r="B23" s="60" t="inlineStr">
        <is>
          <t>TC_AGCY_LIST_022</t>
        </is>
      </c>
      <c r="C23" s="71" t="inlineStr">
        <is>
          <t>Validation tỷ lệ hoa hồng (AW_AGCY_002)</t>
        </is>
      </c>
      <c r="D23" s="63" t="inlineStr">
        <is>
          <t>Boundary</t>
        </is>
      </c>
      <c r="E23" s="63" t="inlineStr">
        <is>
          <t>Medium</t>
        </is>
      </c>
      <c r="F23" s="63" t="inlineStr">
        <is>
          <t>AC-02 / AW_AGCY_002</t>
        </is>
      </c>
      <c r="G23" s="71" t="inlineStr">
        <is>
          <t>Check hệ thống chấp nhận tỷ lệ hoa hồng bằng 0% (giá trị biên dưới hợp lệ)</t>
        </is>
      </c>
      <c r="H23" s="71" t="inlineStr">
        <is>
          <t>Admin ở form Đăng ký Đại lý Mới. Tên "Đại lý Biên Dưới" chưa tồn tại. Tất cả trường khác hợp lệ.</t>
        </is>
      </c>
      <c r="I23" s="71" t="inlineStr">
        <is>
          <t>1. Nhập Tên đại lý: "Đại lý Biên Dưới"
2. Nhập Tỷ lệ hoa hồng: 0
3. Điền trường còn lại hợp lệ
4. Nhấn [Lưu]</t>
        </is>
      </c>
      <c r="J23" s="70" t="inlineStr">
        <is>
          <t>- Tạo thành công, không có lỗi inline
- Đại lý "Đại lý Biên Dưới" xuất hiện trong danh sách
- Cột Hoa hồng hiển thị "0%"</t>
        </is>
      </c>
      <c r="K23" s="70" t="inlineStr">
        <is>
          <t>Tên: "Đại lý Biên Dưới"
Tỷ lệ hoa hồng: 0</t>
        </is>
      </c>
      <c r="L23" s="70" t="inlineStr">
        <is>
          <t>Medium</t>
        </is>
      </c>
      <c r="M23" s="65" t="n"/>
      <c r="N23" s="66" t="n"/>
      <c r="O23" s="81" t="n"/>
      <c r="P23" s="70" t="n"/>
      <c r="Q23" s="65" t="n"/>
      <c r="R23" s="66" t="n"/>
      <c r="S23" s="81" t="n"/>
      <c r="T23" s="70" t="n"/>
      <c r="U23" s="70" t="n"/>
      <c r="V23" s="70" t="n"/>
      <c r="W23" s="70" t="inlineStr">
        <is>
          <t>—</t>
        </is>
      </c>
      <c r="X23" s="68" t="n"/>
      <c r="Y23" s="68" t="n"/>
      <c r="Z23" s="68" t="n"/>
      <c r="AA23" s="68" t="n"/>
      <c r="AB23" s="68" t="n"/>
      <c r="AC23" s="68" t="n"/>
      <c r="AD23" s="68" t="n"/>
      <c r="AE23" s="68" t="n"/>
      <c r="AF23" s="68" t="n"/>
      <c r="AG23" s="68" t="n"/>
      <c r="AH23" s="68" t="n"/>
      <c r="AI23" s="68" t="n"/>
      <c r="AJ23" s="69" t="n"/>
    </row>
    <row r="24">
      <c r="A24" s="59">
        <f>row()-2</f>
        <v/>
      </c>
      <c r="B24" s="60" t="inlineStr">
        <is>
          <t>TC_AGCY_LIST_023</t>
        </is>
      </c>
      <c r="C24" s="71" t="inlineStr">
        <is>
          <t>Validation tỷ lệ hoa hồng (AW_AGCY_002)</t>
        </is>
      </c>
      <c r="D24" s="71" t="inlineStr">
        <is>
          <t>Boundary</t>
        </is>
      </c>
      <c r="E24" s="71" t="inlineStr">
        <is>
          <t>Medium</t>
        </is>
      </c>
      <c r="F24" s="71" t="inlineStr">
        <is>
          <t>AC-02 / AW_AGCY_002</t>
        </is>
      </c>
      <c r="G24" s="71" t="inlineStr">
        <is>
          <t>Check hệ thống chấp nhận tỷ lệ hoa hồng bằng 100% (giá trị biên trên hợp lệ)</t>
        </is>
      </c>
      <c r="H24" s="71" t="inlineStr">
        <is>
          <t>Admin ở form Đăng ký Đại lý Mới. Tên "Đại lý Biên Trên" chưa tồn tại. Tất cả trường khác hợp lệ.</t>
        </is>
      </c>
      <c r="I24" s="71" t="inlineStr">
        <is>
          <t>1. Nhập Tên đại lý: "Đại lý Biên Trên"
2. Nhập Tỷ lệ hoa hồng: 100
3. Điền trường còn lại hợp lệ
4. Nhấn [Lưu]</t>
        </is>
      </c>
      <c r="J24" s="70" t="inlineStr">
        <is>
          <t>- Tạo thành công, không có lỗi
- Đại lý "Đại lý Biên Trên" xuất hiện trong danh sách
- Cột Hoa hồng hiển thị "100%"</t>
        </is>
      </c>
      <c r="K24" s="70" t="inlineStr">
        <is>
          <t>Tên: "Đại lý Biên Trên"
Tỷ lệ hoa hồng: 100</t>
        </is>
      </c>
      <c r="L24" s="70" t="inlineStr">
        <is>
          <t>Medium</t>
        </is>
      </c>
      <c r="M24" s="65" t="n"/>
      <c r="N24" s="66" t="n"/>
      <c r="O24" s="81" t="n"/>
      <c r="P24" s="70" t="n"/>
      <c r="Q24" s="65" t="n"/>
      <c r="R24" s="66" t="n"/>
      <c r="S24" s="81" t="n"/>
      <c r="T24" s="70" t="n"/>
      <c r="U24" s="70" t="n"/>
      <c r="V24" s="70" t="n"/>
      <c r="W24" s="70" t="inlineStr">
        <is>
          <t>⚠️ Cần BA confirm: 100% có phải là giới hạn trên hợp lệ không?</t>
        </is>
      </c>
      <c r="X24" s="68" t="n"/>
      <c r="Y24" s="68" t="n"/>
      <c r="Z24" s="68" t="n"/>
      <c r="AA24" s="68" t="n"/>
      <c r="AB24" s="68" t="n"/>
      <c r="AC24" s="68" t="n"/>
      <c r="AD24" s="68" t="n"/>
      <c r="AE24" s="68" t="n"/>
      <c r="AF24" s="68" t="n"/>
      <c r="AG24" s="68" t="n"/>
      <c r="AH24" s="68" t="n"/>
      <c r="AI24" s="68" t="n"/>
      <c r="AJ24" s="69" t="n"/>
    </row>
    <row r="25">
      <c r="A25" s="59">
        <f>row()-2</f>
        <v/>
      </c>
      <c r="B25" s="60" t="inlineStr">
        <is>
          <t>TC_AGCY_LIST_024</t>
        </is>
      </c>
      <c r="C25" s="71" t="inlineStr">
        <is>
          <t>Validation tên đại lý (AW_AGCY_002)</t>
        </is>
      </c>
      <c r="D25" s="71" t="inlineStr">
        <is>
          <t>Validation</t>
        </is>
      </c>
      <c r="E25" s="71" t="inlineStr">
        <is>
          <t>High</t>
        </is>
      </c>
      <c r="F25" s="71" t="inlineStr">
        <is>
          <t>AC-02 / AW_AGCY_002</t>
        </is>
      </c>
      <c r="G25" s="71" t="inlineStr">
        <is>
          <t>Check hệ thống không thực thi script độc hại khi nhập XSS payload vào trường Tên đại lý</t>
        </is>
      </c>
      <c r="H25" s="71" t="inlineStr">
        <is>
          <t>Admin ở form Đăng ký Đại lý Mới.</t>
        </is>
      </c>
      <c r="I25" s="71" t="inlineStr">
        <is>
          <t>1. Nhập Tên đại lý: chuỗi XSS payload (xem Test Data)
2. Nhấn [Lưu]
3. Kiểm tra popup và hiển thị trong danh sách</t>
        </is>
      </c>
      <c r="J25" s="70" t="inlineStr">
        <is>
          <t>- Không có alert popup xuất hiện
- Nếu lưu được: tên hiển thị trong danh sách là chuỗi text literal, không thực thi script
- Hoặc: hệ thống từ chối với lỗi ký tự đặc biệt</t>
        </is>
      </c>
      <c r="K25" s="70" t="inlineStr">
        <is>
          <t>Tên đại lý: `&lt;script&gt;alert('XSS')&lt;/script&gt;`</t>
        </is>
      </c>
      <c r="L25" s="70" t="inlineStr">
        <is>
          <t>High</t>
        </is>
      </c>
      <c r="M25" s="65" t="n"/>
      <c r="N25" s="66" t="n"/>
      <c r="O25" s="81" t="n"/>
      <c r="P25" s="70" t="n"/>
      <c r="Q25" s="65" t="n"/>
      <c r="R25" s="66" t="n"/>
      <c r="S25" s="81" t="n"/>
      <c r="T25" s="70" t="n"/>
      <c r="U25" s="70" t="n"/>
      <c r="V25" s="70" t="n"/>
      <c r="W25" s="70" t="inlineStr">
        <is>
          <t>—</t>
        </is>
      </c>
      <c r="X25" s="68" t="n"/>
      <c r="Y25" s="68" t="n"/>
      <c r="Z25" s="68" t="n"/>
      <c r="AA25" s="68" t="n"/>
      <c r="AB25" s="68" t="n"/>
      <c r="AC25" s="68" t="n"/>
      <c r="AD25" s="68" t="n"/>
      <c r="AE25" s="68" t="n"/>
      <c r="AF25" s="68" t="n"/>
      <c r="AG25" s="68" t="n"/>
      <c r="AH25" s="68" t="n"/>
      <c r="AI25" s="68" t="n"/>
      <c r="AJ25" s="69" t="n"/>
    </row>
    <row r="26">
      <c r="A26" s="59">
        <f>row()-2</f>
        <v/>
      </c>
      <c r="B26" s="60" t="inlineStr">
        <is>
          <t>TC_AGCY_LIST_025</t>
        </is>
      </c>
      <c r="C26" s="70" t="inlineStr">
        <is>
          <t>Điều hướng (AW_AGCY_002)</t>
        </is>
      </c>
      <c r="D26" s="70" t="inlineStr">
        <is>
          <t>Functional</t>
        </is>
      </c>
      <c r="E26" s="70" t="inlineStr">
        <is>
          <t>Medium</t>
        </is>
      </c>
      <c r="F26" s="70" t="inlineStr">
        <is>
          <t>AC-02 / AW_AGCY_002</t>
        </is>
      </c>
      <c r="G26" s="70" t="inlineStr">
        <is>
          <t>Check nhấn Hủy hoặc Back không lưu dữ liệu và quay về màn hình Danh sách</t>
        </is>
      </c>
      <c r="H26" s="70" t="inlineStr">
        <is>
          <t>Admin ở form Đăng ký Đại lý Mới. Đã nhập một phần thông tin (Tên = "Đại lý Chưa Lưu").</t>
        </is>
      </c>
      <c r="I26" s="70" t="inlineStr">
        <is>
          <t>1. Nhập Tên đại lý: "Đại lý Chưa Lưu"
2. Nhấn nút Hủy hoặc Back của trình duyệt</t>
        </is>
      </c>
      <c r="J26" s="70" t="inlineStr">
        <is>
          <t>- Điều hướng trở về màn hình Danh sách (AW_AGCY_001)
- "Đại lý Chưa Lưu" KHÔNG xuất hiện trong danh sách
- Không có bản ghi mới được tạo trong DB</t>
        </is>
      </c>
      <c r="K26" s="70" t="inlineStr">
        <is>
          <t>Tên đại lý: "Đại lý Chưa Lưu"</t>
        </is>
      </c>
      <c r="L26" s="70" t="inlineStr">
        <is>
          <t>High</t>
        </is>
      </c>
      <c r="M26" s="65" t="n"/>
      <c r="N26" s="66" t="n"/>
      <c r="O26" s="81" t="n"/>
      <c r="P26" s="70" t="n"/>
      <c r="Q26" s="65" t="n"/>
      <c r="R26" s="66" t="n"/>
      <c r="S26" s="81" t="n"/>
      <c r="T26" s="70" t="n"/>
      <c r="U26" s="70" t="n"/>
      <c r="V26" s="70" t="n"/>
      <c r="W26" s="70" t="inlineStr">
        <is>
          <t>⚠️ Cần BA confirm: có confirmation dialog khi hủy form đang có dữ liệu chưa lưu không?</t>
        </is>
      </c>
      <c r="X26" s="68" t="n"/>
      <c r="Y26" s="68" t="n"/>
      <c r="Z26" s="68" t="n"/>
      <c r="AA26" s="68" t="n"/>
      <c r="AB26" s="68" t="n"/>
      <c r="AC26" s="68" t="n"/>
      <c r="AD26" s="68" t="n"/>
      <c r="AE26" s="68" t="n"/>
      <c r="AF26" s="68" t="n"/>
      <c r="AG26" s="68" t="n"/>
      <c r="AH26" s="68" t="n"/>
      <c r="AI26" s="68" t="n"/>
      <c r="AJ26" s="69" t="n"/>
    </row>
    <row r="27">
      <c r="A27" s="59">
        <f>row()-2</f>
        <v/>
      </c>
      <c r="B27" s="60" t="inlineStr">
        <is>
          <t>TC_AGCY_LIST_026</t>
        </is>
      </c>
      <c r="C27" s="70" t="inlineStr">
        <is>
          <t>Phân quyền (AW_AGCY_002)</t>
        </is>
      </c>
      <c r="D27" s="70" t="inlineStr">
        <is>
          <t>Permission</t>
        </is>
      </c>
      <c r="E27" s="70" t="inlineStr">
        <is>
          <t>High</t>
        </is>
      </c>
      <c r="F27" s="70" t="inlineStr">
        <is>
          <t>AC-02 / AW_AGCY_002</t>
        </is>
      </c>
      <c r="G27" s="70" t="inlineStr">
        <is>
          <t>Check người dùng không có role System Admin bị từ chối truy cập form Đăng ký Đại lý Mới</t>
        </is>
      </c>
      <c r="H27" s="70" t="inlineStr">
        <is>
          <t>Đã đăng nhập bằng tài khoản không có role System Admin (VD Company Admin E02).</t>
        </is>
      </c>
      <c r="I27" s="70" t="inlineStr">
        <is>
          <t>1. Dùng tài khoản non-System-Admin truy cập trực tiếp URL màn hình Đăng ký Đại lý Mới</t>
        </is>
      </c>
      <c r="J27" s="70" t="inlineStr">
        <is>
          <t>- Hệ thống từ chối truy cập
- Hiển thị 403 Forbidden hoặc redirect về trang chủ
- Form đăng ký không hiển thị dưới bất kỳ hình thức nào</t>
        </is>
      </c>
      <c r="K27" s="70" t="inlineStr">
        <is>
          <t>Tài khoản: company_admin_qc@eskitchen.jp (role E02, không có quyền System Admin)</t>
        </is>
      </c>
      <c r="L27" s="70" t="inlineStr">
        <is>
          <t>Critical</t>
        </is>
      </c>
      <c r="M27" s="65" t="n"/>
      <c r="N27" s="66" t="n"/>
      <c r="O27" s="81" t="n"/>
      <c r="P27" s="70" t="n"/>
      <c r="Q27" s="65" t="n"/>
      <c r="R27" s="66" t="n"/>
      <c r="S27" s="81" t="n"/>
      <c r="T27" s="70" t="n"/>
      <c r="U27" s="70" t="n"/>
      <c r="V27" s="70" t="n"/>
      <c r="W27" s="70" t="inlineStr">
        <is>
          <t>—</t>
        </is>
      </c>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TC_AGCY_DTL_001</t>
        </is>
      </c>
      <c r="C2" s="63" t="inlineStr">
        <is>
          <t>Tab Điều hướng</t>
        </is>
      </c>
      <c r="D2" s="71" t="inlineStr">
        <is>
          <t>Functional</t>
        </is>
      </c>
      <c r="E2" s="71" t="inlineStr">
        <is>
          <t>High</t>
        </is>
      </c>
      <c r="F2" s="71" t="inlineStr">
        <is>
          <t>AC-10 / AW_AGCY_003</t>
        </is>
      </c>
      <c r="G2" s="63" t="inlineStr">
        <is>
          <t>Check Agency Detail hiển thị đủ 5 tab sau khi chọn đại lý từ danh sách</t>
        </is>
      </c>
      <c r="H2" s="71" t="inlineStr">
        <is>
          <t>System Admin đã đăng nhập thành công (JWT hợp lệ). Đại lý AG-2026-0001 tồn tại trong hệ thống.</t>
        </is>
      </c>
      <c r="I2" s="71" t="inlineStr">
        <is>
          <t>1. Vào màn AW_AGCY_001 (Danh sách Đại lý)
2. Nhấn chọn đại lý "テストエージェンシー株式会社" (AG-2026-0001)</t>
        </is>
      </c>
      <c r="J2" s="70" t="inlineStr">
        <is>
          <t>- Điều hướng thành công tới màn Agency Detail
- Hiển thị đúng 5 tab: Basic Information / Contract and Compensation Settings / Performance Summary / Referral History / Payment History
- Tab đầu tiên (Basic Information) được chọn active mặc định
- Tiêu đề trang/header hiển thị tên đại lý</t>
        </is>
      </c>
      <c r="K2" s="70" t="inlineStr">
        <is>
          <t>Đại lý ID: AG-2026-0001; Tên: テストエージェンシー株式会社</t>
        </is>
      </c>
      <c r="L2" s="70" t="inlineStr">
        <is>
          <t>Critical</t>
        </is>
      </c>
      <c r="M2" s="65" t="n"/>
      <c r="N2" s="66" t="n"/>
      <c r="O2" s="81" t="n"/>
      <c r="P2" s="81" t="n"/>
      <c r="Q2" s="65" t="n"/>
      <c r="R2" s="66" t="n"/>
      <c r="S2" s="81" t="n"/>
      <c r="T2" s="81" t="n"/>
      <c r="U2" s="63" t="n"/>
      <c r="V2" s="63" t="n"/>
      <c r="W2" s="81" t="inlineStr">
        <is>
          <t>⚠️ Cần BA confirm: tên tab hiển thị tiếng Anh hay tiếng Nhật? URL có kèm agency ID không (VD /agencies/AG-2026-0001)?</t>
        </is>
      </c>
      <c r="X2" s="68" t="n"/>
      <c r="Y2" s="68" t="n"/>
      <c r="Z2" s="68" t="n"/>
      <c r="AA2" s="68" t="n"/>
      <c r="AB2" s="68" t="n"/>
      <c r="AC2" s="68" t="n"/>
      <c r="AD2" s="68" t="n"/>
      <c r="AE2" s="68" t="n"/>
      <c r="AF2" s="68" t="n"/>
      <c r="AG2" s="68" t="n"/>
      <c r="AH2" s="68" t="n"/>
      <c r="AI2" s="68" t="n"/>
      <c r="AJ2" s="69" t="n"/>
    </row>
    <row r="3">
      <c r="A3" s="59">
        <f>row()-2</f>
        <v/>
      </c>
      <c r="B3" s="60" t="inlineStr">
        <is>
          <t>TC_AGCY_DTL_002</t>
        </is>
      </c>
      <c r="C3" s="63" t="inlineStr">
        <is>
          <t>Tab Điều hướng</t>
        </is>
      </c>
      <c r="D3" s="63" t="inlineStr">
        <is>
          <t>Functional</t>
        </is>
      </c>
      <c r="E3" s="63" t="inlineStr">
        <is>
          <t>High</t>
        </is>
      </c>
      <c r="F3" s="63" t="inlineStr">
        <is>
          <t>AC-10</t>
        </is>
      </c>
      <c r="G3" s="63" t="inlineStr">
        <is>
          <t>Check chuyển tab đúng nội dung khi nhấn từng tab</t>
        </is>
      </c>
      <c r="H3" s="71" t="inlineStr">
        <is>
          <t>System Admin đang ở màn Agency Detail của AG-2026-0001, tab Basic Information đang active.</t>
        </is>
      </c>
      <c r="I3" s="71" t="inlineStr">
        <is>
          <t>1. Nhấn tab "Contract and Compensation Settings"
2. Nhấn tab "Performance Summary"
3. Nhấn tab "Referral History"
4. Nhấn tab "Payment History"
5. Nhấn tab "Basic Information"</t>
        </is>
      </c>
      <c r="J3" s="70" t="inlineStr">
        <is>
          <t>- Mỗi lần nhấn tab: vùng nội dung chính thay đổi sang đúng nội dung tab tương ứng
- Tab đang active có trạng thái hiển thị phân biệt (highlight) so với tab không active
- Không xảy ra full page reload khi đổi tab</t>
        </is>
      </c>
      <c r="K3" s="70" t="inlineStr">
        <is>
          <t>Đại lý ID: AG-2026-0001</t>
        </is>
      </c>
      <c r="L3" s="70" t="inlineStr">
        <is>
          <t>Critical</t>
        </is>
      </c>
      <c r="M3" s="65" t="n"/>
      <c r="N3" s="66" t="n"/>
      <c r="O3" s="81" t="n"/>
      <c r="P3" s="70" t="n"/>
      <c r="Q3" s="65" t="n"/>
      <c r="R3" s="66" t="n"/>
      <c r="S3" s="81" t="n"/>
      <c r="T3" s="70" t="n"/>
      <c r="U3" s="70" t="n"/>
      <c r="V3" s="70" t="n"/>
      <c r="W3" s="70" t="inlineStr">
        <is>
          <t>⚠️ Cần BA confirm: URL có cập nhật query param theo tab không (VD ?tab=contract)?</t>
        </is>
      </c>
      <c r="X3" s="68" t="n"/>
      <c r="Y3" s="68" t="n"/>
      <c r="Z3" s="68" t="n"/>
      <c r="AA3" s="68" t="n"/>
      <c r="AB3" s="68" t="n"/>
      <c r="AC3" s="68" t="n"/>
      <c r="AD3" s="68" t="n"/>
      <c r="AE3" s="68" t="n"/>
      <c r="AF3" s="68" t="n"/>
      <c r="AG3" s="68" t="n"/>
      <c r="AH3" s="68" t="n"/>
      <c r="AI3" s="68" t="n"/>
      <c r="AJ3" s="69" t="n"/>
    </row>
    <row r="4">
      <c r="A4" s="59">
        <f>row()-2</f>
        <v/>
      </c>
      <c r="B4" s="60" t="inlineStr">
        <is>
          <t>TC_AGCY_DTL_003</t>
        </is>
      </c>
      <c r="C4" s="71" t="inlineStr">
        <is>
          <t>Tab Điều hướng</t>
        </is>
      </c>
      <c r="D4" s="63" t="inlineStr">
        <is>
          <t>Functional</t>
        </is>
      </c>
      <c r="E4" s="63" t="inlineStr">
        <is>
          <t>Medium</t>
        </is>
      </c>
      <c r="F4" s="63" t="inlineStr">
        <is>
          <t>AC-10</t>
        </is>
      </c>
      <c r="G4" s="63" t="inlineStr">
        <is>
          <t>Check trạng thái form không bị reset khi chuyển qua lại giữa 2 tab</t>
        </is>
      </c>
      <c r="H4" s="63" t="inlineStr">
        <is>
          <t>System Admin đang ở tab Contract and Compensation Settings, đã nhập nội dung mới vào trường Ghi chú nội bộ nhưng chưa nhấn Lưu.</t>
        </is>
      </c>
      <c r="I4" s="71" t="inlineStr">
        <is>
          <t>1. Nhập "Ghi chú thử nghiệm chưa lưu" vào trường Ghi chú nội bộ
2. Nhấn sang tab "Basic Information"
3. Nhấn quay lại tab "Contract and Compensation Settings"</t>
        </is>
      </c>
      <c r="J4" s="70" t="inlineStr">
        <is>
          <t>- Giá trị "Ghi chú thử nghiệm chưa lưu" vẫn còn trong trường Ghi chú nội bộ
- Form không bị reset khi chuyển tab rồi quay lại</t>
        </is>
      </c>
      <c r="K4" s="70" t="inlineStr">
        <is>
          <t>Đại lý AG-2026-0001; Ghi chú nhập: "Ghi chú thử nghiệm chưa lưu"</t>
        </is>
      </c>
      <c r="L4" s="70" t="inlineStr">
        <is>
          <t>Medium</t>
        </is>
      </c>
      <c r="M4" s="65" t="n"/>
      <c r="N4" s="66" t="n"/>
      <c r="O4" s="81" t="n"/>
      <c r="P4" s="70" t="n"/>
      <c r="Q4" s="65" t="n"/>
      <c r="R4" s="66" t="n"/>
      <c r="S4" s="81" t="n"/>
      <c r="T4" s="70" t="n"/>
      <c r="U4" s="70" t="n"/>
      <c r="V4" s="70" t="n"/>
      <c r="W4" s="70" t="inlineStr">
        <is>
          <t>⚠️ Cần BA confirm: có cảnh báo "unsaved changes" khi rời khỏi tab đang có dữ liệu chưa lưu không?</t>
        </is>
      </c>
      <c r="X4" s="68" t="n"/>
      <c r="Y4" s="68" t="n"/>
      <c r="Z4" s="68" t="n"/>
      <c r="AA4" s="68" t="n"/>
      <c r="AB4" s="68" t="n"/>
      <c r="AC4" s="68" t="n"/>
      <c r="AD4" s="68" t="n"/>
      <c r="AE4" s="68" t="n"/>
      <c r="AF4" s="68" t="n"/>
      <c r="AG4" s="68" t="n"/>
      <c r="AH4" s="68" t="n"/>
      <c r="AI4" s="68" t="n"/>
      <c r="AJ4" s="69" t="n"/>
    </row>
    <row r="5">
      <c r="A5" s="59">
        <f>row()-2</f>
        <v/>
      </c>
      <c r="B5" s="60" t="inlineStr">
        <is>
          <t>TC_AGCY_DTL_004</t>
        </is>
      </c>
      <c r="C5" s="71" t="inlineStr">
        <is>
          <t>Basic Information (AW_AGCY_003)</t>
        </is>
      </c>
      <c r="D5" s="63" t="inlineStr">
        <is>
          <t>Functional</t>
        </is>
      </c>
      <c r="E5" s="63" t="inlineStr">
        <is>
          <t>High</t>
        </is>
      </c>
      <c r="F5" s="63" t="inlineStr">
        <is>
          <t>AC-10 / AW_AGCY_003</t>
        </is>
      </c>
      <c r="G5" s="63" t="inlineStr">
        <is>
          <t>Check tab Basic Information hiển thị đầy đủ 4 nhóm thông tin cơ bản</t>
        </is>
      </c>
      <c r="H5" s="71" t="inlineStr">
        <is>
          <t>System Admin đăng nhập. Đại lý AG-2026-0001 tồn tại với đầy đủ dữ liệu.</t>
        </is>
      </c>
      <c r="I5" s="71" t="inlineStr">
        <is>
          <t>1. Vào Agency Detail của AG-2026-0001
2. Quan sát nội dung tab Basic Information</t>
        </is>
      </c>
      <c r="J5" s="70" t="inlineStr">
        <is>
          <t>- Hiển thị ID Hệ thống: AG-2026-0001
- Hiển thị Tên Công ty: テストエージェンシー株式会社
- Hiển thị Trạng thái: Đang chạy
- Hiển thị đầy đủ thông tin người liên hệ (tên, email, SĐT)</t>
        </is>
      </c>
      <c r="K5" s="70" t="inlineStr">
        <is>
          <t>ID: AG-2026-0001; Tên: テストエージェンシー株式会社; Trạng thái: Đang chạy; Người LH: 田中太郎 / tanaka@test-agency.co.jp / 090-0001-0002</t>
        </is>
      </c>
      <c r="L5" s="70" t="inlineStr">
        <is>
          <t>Critical</t>
        </is>
      </c>
      <c r="M5" s="65" t="n"/>
      <c r="N5" s="66" t="n"/>
      <c r="O5" s="81" t="n"/>
      <c r="P5" s="70" t="n"/>
      <c r="Q5" s="65" t="n"/>
      <c r="R5" s="66" t="n"/>
      <c r="S5" s="81" t="n"/>
      <c r="T5" s="70" t="n"/>
      <c r="U5" s="70" t="n"/>
      <c r="V5" s="70" t="n"/>
      <c r="W5" s="70" t="inlineStr">
        <is>
          <t>⚠️ Cần BA confirm: danh sách đầy đủ các trường người liên hệ (tên, email, SĐT, chức vụ, hay thêm trường khác?)</t>
        </is>
      </c>
      <c r="X5" s="68" t="n"/>
      <c r="Y5" s="68" t="n"/>
      <c r="Z5" s="68" t="n"/>
      <c r="AA5" s="68" t="n"/>
      <c r="AB5" s="68" t="n"/>
      <c r="AC5" s="68" t="n"/>
      <c r="AD5" s="68" t="n"/>
      <c r="AE5" s="68" t="n"/>
      <c r="AF5" s="68" t="n"/>
      <c r="AG5" s="68" t="n"/>
      <c r="AH5" s="68" t="n"/>
      <c r="AI5" s="68" t="n"/>
      <c r="AJ5" s="69" t="n"/>
    </row>
    <row r="6">
      <c r="A6" s="59">
        <f>row()-2</f>
        <v/>
      </c>
      <c r="B6" s="60" t="inlineStr">
        <is>
          <t>TC_AGCY_DTL_005</t>
        </is>
      </c>
      <c r="C6" s="71" t="inlineStr">
        <is>
          <t>Basic Information — Trạng thái Đang chạy</t>
        </is>
      </c>
      <c r="D6" s="63" t="inlineStr">
        <is>
          <t>Functional</t>
        </is>
      </c>
      <c r="E6" s="63" t="inlineStr">
        <is>
          <t>High</t>
        </is>
      </c>
      <c r="F6" s="63" t="inlineStr">
        <is>
          <t>AC-10 / AW_AGCY_003</t>
        </is>
      </c>
      <c r="G6" s="63" t="inlineStr">
        <is>
          <t>Check trạng thái "Đang chạy" hiển thị đúng trên tab Basic Information</t>
        </is>
      </c>
      <c r="H6" s="71" t="inlineStr">
        <is>
          <t>System Admin đăng nhập. Đại lý AG-2026-0001 có trạng thái = Đang chạy.</t>
        </is>
      </c>
      <c r="I6" s="71" t="inlineStr">
        <is>
          <t>1. Vào Agency Detail của AG-2026-0001
2. Quan sát trường Trạng thái trên tab Basic Information</t>
        </is>
      </c>
      <c r="J6" s="70" t="inlineStr">
        <is>
          <t>- Trạng thái hiển thị nhãn "Đang chạy"
- Badge hoặc label trạng thái hiển thị đúng</t>
        </is>
      </c>
      <c r="K6" s="70" t="inlineStr">
        <is>
          <t>ID: AG-2026-0001; Trạng thái DB: Đang chạy</t>
        </is>
      </c>
      <c r="L6" s="70" t="inlineStr">
        <is>
          <t>High</t>
        </is>
      </c>
      <c r="M6" s="65" t="n"/>
      <c r="N6" s="66" t="n"/>
      <c r="O6" s="81" t="n"/>
      <c r="P6" s="70" t="n"/>
      <c r="Q6" s="65" t="n"/>
      <c r="R6" s="66" t="n"/>
      <c r="S6" s="81" t="n"/>
      <c r="T6" s="70" t="n"/>
      <c r="U6" s="70" t="n"/>
      <c r="V6" s="70" t="n"/>
      <c r="W6" s="70" t="inlineStr">
        <is>
          <t>⚠️ Cần BA confirm: màu sắc badge "Đang chạy" (Figma chưa đọc được)</t>
        </is>
      </c>
      <c r="X6" s="68" t="n"/>
      <c r="Y6" s="68" t="n"/>
      <c r="Z6" s="68" t="n"/>
      <c r="AA6" s="68" t="n"/>
      <c r="AB6" s="68" t="n"/>
      <c r="AC6" s="68" t="n"/>
      <c r="AD6" s="68" t="n"/>
      <c r="AE6" s="68" t="n"/>
      <c r="AF6" s="68" t="n"/>
      <c r="AG6" s="68" t="n"/>
      <c r="AH6" s="68" t="n"/>
      <c r="AI6" s="68" t="n"/>
      <c r="AJ6" s="69" t="n"/>
    </row>
    <row r="7">
      <c r="A7" s="59">
        <f>row()-2</f>
        <v/>
      </c>
      <c r="B7" s="60" t="inlineStr">
        <is>
          <t>TC_AGCY_DTL_006</t>
        </is>
      </c>
      <c r="C7" s="71" t="inlineStr">
        <is>
          <t>Basic Information — Trạng thái Đã hủy</t>
        </is>
      </c>
      <c r="D7" s="63" t="inlineStr">
        <is>
          <t>Functional</t>
        </is>
      </c>
      <c r="E7" s="63" t="inlineStr">
        <is>
          <t>High</t>
        </is>
      </c>
      <c r="F7" s="63" t="inlineStr">
        <is>
          <t>AC-10 / AW_AGCY_003</t>
        </is>
      </c>
      <c r="G7" s="63" t="inlineStr">
        <is>
          <t>Check trạng thái "Đã hủy" hiển thị đúng và phân biệt với "Đang chạy"</t>
        </is>
      </c>
      <c r="H7" s="63" t="inlineStr">
        <is>
          <t>System Admin đăng nhập. Đại lý AG-2026-0002 có trạng thái = Đã hủy.</t>
        </is>
      </c>
      <c r="I7" s="71" t="inlineStr">
        <is>
          <t>1. Vào Agency Detail của AG-2026-0002
2. Quan sát trường Trạng thái</t>
        </is>
      </c>
      <c r="J7" s="70" t="inlineStr">
        <is>
          <t>- Trạng thái hiển thị nhãn "Đã hủy"
- Màu sắc/badge phân biệt rõ so với trạng thái "Đang chạy"</t>
        </is>
      </c>
      <c r="K7" s="70" t="inlineStr">
        <is>
          <t>ID: AG-2026-0002; Trạng thái DB: Đã hủy</t>
        </is>
      </c>
      <c r="L7" s="70" t="inlineStr">
        <is>
          <t>High</t>
        </is>
      </c>
      <c r="M7" s="65" t="n"/>
      <c r="N7" s="66" t="n"/>
      <c r="O7" s="81" t="n"/>
      <c r="P7" s="70" t="n"/>
      <c r="Q7" s="65" t="n"/>
      <c r="R7" s="66" t="n"/>
      <c r="S7" s="81" t="n"/>
      <c r="T7" s="70" t="n"/>
      <c r="U7" s="70" t="n"/>
      <c r="V7" s="70" t="n"/>
      <c r="W7" s="70" t="inlineStr">
        <is>
          <t>⚠️ Cần BA confirm: màu sắc badge "Đã hủy"</t>
        </is>
      </c>
      <c r="X7" s="68" t="n"/>
      <c r="Y7" s="68" t="n"/>
      <c r="Z7" s="68" t="n"/>
      <c r="AA7" s="68" t="n"/>
      <c r="AB7" s="68" t="n"/>
      <c r="AC7" s="68" t="n"/>
      <c r="AD7" s="68" t="n"/>
      <c r="AE7" s="68" t="n"/>
      <c r="AF7" s="68" t="n"/>
      <c r="AG7" s="68" t="n"/>
      <c r="AH7" s="68" t="n"/>
      <c r="AI7" s="68" t="n"/>
      <c r="AJ7" s="69" t="n"/>
    </row>
    <row r="8">
      <c r="A8" s="59">
        <f>row()-2</f>
        <v/>
      </c>
      <c r="B8" s="60" t="inlineStr">
        <is>
          <t>TC_AGCY_DTL_007</t>
        </is>
      </c>
      <c r="C8" s="71" t="inlineStr">
        <is>
          <t>Basic Information — Hủy đại lý không có referral active</t>
        </is>
      </c>
      <c r="D8" s="63" t="inlineStr">
        <is>
          <t>Functional</t>
        </is>
      </c>
      <c r="E8" s="63" t="inlineStr">
        <is>
          <t>Critical</t>
        </is>
      </c>
      <c r="F8" s="63" t="inlineStr">
        <is>
          <t>AF-08 / AC-10</t>
        </is>
      </c>
      <c r="G8" s="63" t="inlineStr">
        <is>
          <t>Check đặt trạng thái "Đã hủy" thành công khi không còn referral nào đang active</t>
        </is>
      </c>
      <c r="H8" s="71" t="inlineStr">
        <is>
          <t>System Admin đăng nhập. Đại lý AG-2026-0003 trạng thái Đang chạy, không có referral active (tất cả referral đã ở trạng thái Hủy hoặc chưa có referral).</t>
        </is>
      </c>
      <c r="I8" s="71" t="inlineStr">
        <is>
          <t>1. Vào Agency Detail của AG-2026-0003
2. Tại tab Basic Information, thay đổi Trạng thái sang "Đã hủy"
3. Xác nhận hành động (nếu có bước confirm)</t>
        </is>
      </c>
      <c r="J8" s="70" t="inlineStr">
        <is>
          <t>- Trạng thái cập nhật thành "Đã hủy" thành công
- Không có cảnh báo warning về referral active
- Từ thời điểm hủy, không còn tính hoa hồng mới (kỳ đã qua không bị ảnh hưởng)</t>
        </is>
      </c>
      <c r="K8" s="70" t="inlineStr">
        <is>
          <t>ID: AG-2026-0003; Trạng thái: Đang chạy; Số referral active: 0</t>
        </is>
      </c>
      <c r="L8" s="70" t="inlineStr">
        <is>
          <t>Critical</t>
        </is>
      </c>
      <c r="M8" s="65" t="n"/>
      <c r="N8" s="66" t="n"/>
      <c r="O8" s="81" t="n"/>
      <c r="P8" s="70" t="n"/>
      <c r="Q8" s="65" t="n"/>
      <c r="R8" s="66" t="n"/>
      <c r="S8" s="81" t="n"/>
      <c r="T8" s="70" t="n"/>
      <c r="U8" s="70" t="n"/>
      <c r="V8" s="70" t="n"/>
      <c r="W8" s="70" t="inlineStr">
        <is>
          <t>⚠️ Cần BA confirm: action thay đổi trạng thái là dropdown inline hay nút riêng?</t>
        </is>
      </c>
      <c r="X8" s="68" t="n"/>
      <c r="Y8" s="68" t="n"/>
      <c r="Z8" s="68" t="n"/>
      <c r="AA8" s="68" t="n"/>
      <c r="AB8" s="68" t="n"/>
      <c r="AC8" s="68" t="n"/>
      <c r="AD8" s="68" t="n"/>
      <c r="AE8" s="68" t="n"/>
      <c r="AF8" s="68" t="n"/>
      <c r="AG8" s="68" t="n"/>
      <c r="AH8" s="68" t="n"/>
      <c r="AI8" s="68" t="n"/>
      <c r="AJ8" s="69" t="n"/>
    </row>
    <row r="9">
      <c r="A9" s="59">
        <f>row()-2</f>
        <v/>
      </c>
      <c r="B9" s="60" t="inlineStr">
        <is>
          <t>TC_AGCY_DTL_008</t>
        </is>
      </c>
      <c r="C9" s="71" t="inlineStr">
        <is>
          <t>Basic Information — Hủy đại lý còn referral active (AF-08)</t>
        </is>
      </c>
      <c r="D9" s="63" t="inlineStr">
        <is>
          <t>Functional</t>
        </is>
      </c>
      <c r="E9" s="63" t="inlineStr">
        <is>
          <t>Critical</t>
        </is>
      </c>
      <c r="F9" s="63" t="inlineStr">
        <is>
          <t>AF-08 / AC-10</t>
        </is>
      </c>
      <c r="G9" s="63" t="inlineStr">
        <is>
          <t>Check hiển thị warning khi đặt "Đã hủy" trong khi đại lý còn referral đang active</t>
        </is>
      </c>
      <c r="H9" s="71" t="inlineStr">
        <is>
          <t>System Admin đăng nhập. Đại lý AG-2026-0001 trạng thái Đang chạy, có 2 referral active: KH001 (Ký) và KH002 (Đang đàm phán).</t>
        </is>
      </c>
      <c r="I9" s="63" t="inlineStr">
        <is>
          <t>1. Vào Agency Detail của AG-2026-0001
2. Tại tab Basic Information, thay đổi Trạng thái sang "Đã hủy"
3. Quan sát phản hồi của hệ thống</t>
        </is>
      </c>
      <c r="J9" s="70" t="inlineStr">
        <is>
          <t>- Hệ thống hiển thị warning/dialog cảnh báo trước khi hủy
- Nội dung warning đề cập còn referral active
- Có 2 lựa chọn: Tiếp tục hủy và Hủy bỏ thao tác
- Nếu chọn Tiếp tục hủy: trạng thái đổi sang Đã hủy, hoa hồng mới ngừng tính từ thời điểm đó</t>
        </is>
      </c>
      <c r="K9" s="70" t="inlineStr">
        <is>
          <t>ID: AG-2026-0001; Referral active: KH001 (Ký) + KH002 (Đang đàm phán)</t>
        </is>
      </c>
      <c r="L9" s="70" t="inlineStr">
        <is>
          <t>Critical</t>
        </is>
      </c>
      <c r="M9" s="65" t="n"/>
      <c r="N9" s="66" t="n"/>
      <c r="O9" s="81" t="n"/>
      <c r="P9" s="70" t="n"/>
      <c r="Q9" s="65" t="n"/>
      <c r="R9" s="66" t="n"/>
      <c r="S9" s="81" t="n"/>
      <c r="T9" s="70" t="n"/>
      <c r="U9" s="70" t="n"/>
      <c r="V9" s="70" t="n"/>
      <c r="W9" s="70" t="inlineStr">
        <is>
          <t>⚠️ Cần BA confirm: nội dung chính xác của warning message; lựa chọn confirm/cancel có tên gì?</t>
        </is>
      </c>
      <c r="X9" s="68" t="n"/>
      <c r="Y9" s="68" t="n"/>
      <c r="Z9" s="68" t="n"/>
      <c r="AA9" s="68" t="n"/>
      <c r="AB9" s="68" t="n"/>
      <c r="AC9" s="68" t="n"/>
      <c r="AD9" s="68" t="n"/>
      <c r="AE9" s="68" t="n"/>
      <c r="AF9" s="68" t="n"/>
      <c r="AG9" s="68" t="n"/>
      <c r="AH9" s="68" t="n"/>
      <c r="AI9" s="68" t="n"/>
      <c r="AJ9" s="69" t="n"/>
    </row>
    <row r="10">
      <c r="A10" s="59">
        <f>row()-2</f>
        <v/>
      </c>
      <c r="B10" s="60" t="inlineStr">
        <is>
          <t>TC_AGCY_DTL_009</t>
        </is>
      </c>
      <c r="C10" s="71" t="inlineStr">
        <is>
          <t>Contract and Compensation Settings (AW_AGCY_004)</t>
        </is>
      </c>
      <c r="D10" s="63" t="inlineStr">
        <is>
          <t>Functional</t>
        </is>
      </c>
      <c r="E10" s="63" t="inlineStr">
        <is>
          <t>High</t>
        </is>
      </c>
      <c r="F10" s="63" t="inlineStr">
        <is>
          <t>AC-10 / AW_AGCY_004</t>
        </is>
      </c>
      <c r="G10" s="63" t="inlineStr">
        <is>
          <t>Check tab Contract and Compensation Settings hiển thị form ở trạng thái editable trước kỳ thanh toán đầu</t>
        </is>
      </c>
      <c r="H10" s="71" t="inlineStr">
        <is>
          <t>System Admin đăng nhập. Đại lý AG-2026-0004 mới tạo, chưa có bản ghi thanh toán hoa hồng nào.</t>
        </is>
      </c>
      <c r="I10" s="63" t="inlineStr">
        <is>
          <t>1. Vào Agency Detail của AG-2026-0004
2. Nhấn tab "Contract and Compensation Settings"</t>
        </is>
      </c>
      <c r="J10" s="70" t="inlineStr">
        <is>
          <t>- Trường chọn Plan hoa hồng (A/B/C/D) ở trạng thái editable (không bị khóa)
- Trường tài khoản ngân hàng ở trạng thái editable
- Trường khai báo thuế ở trạng thái editable
- Trường ghi chú nội bộ ở trạng thái editable</t>
        </is>
      </c>
      <c r="K10" s="70" t="inlineStr">
        <is>
          <t>ID: AG-2026-0004; Số kỳ thanh toán: 0</t>
        </is>
      </c>
      <c r="L10" s="70" t="inlineStr">
        <is>
          <t>High</t>
        </is>
      </c>
      <c r="M10" s="65" t="n"/>
      <c r="N10" s="66" t="n"/>
      <c r="O10" s="81" t="n"/>
      <c r="P10" s="70" t="n"/>
      <c r="Q10" s="65" t="n"/>
      <c r="R10" s="66" t="n"/>
      <c r="S10" s="81" t="n"/>
      <c r="T10" s="70" t="n"/>
      <c r="U10" s="70" t="n"/>
      <c r="V10" s="70" t="n"/>
      <c r="W10" s="70" t="inlineStr">
        <is>
          <t>⚠️ Cần BA confirm: tên và số lượng trường tài khoản ngân hàng (tên ngân hàng, số TK, tên chủ TK...); trường khai báo thuế gồm những gì?</t>
        </is>
      </c>
      <c r="X10" s="68" t="n"/>
      <c r="Y10" s="68" t="n"/>
      <c r="Z10" s="68" t="n"/>
      <c r="AA10" s="68" t="n"/>
      <c r="AB10" s="68" t="n"/>
      <c r="AC10" s="68" t="n"/>
      <c r="AD10" s="68" t="n"/>
      <c r="AE10" s="68" t="n"/>
      <c r="AF10" s="68" t="n"/>
      <c r="AG10" s="68" t="n"/>
      <c r="AH10" s="68" t="n"/>
      <c r="AI10" s="68" t="n"/>
      <c r="AJ10" s="69" t="n"/>
    </row>
    <row r="11">
      <c r="A11" s="59">
        <f>row()-2</f>
        <v/>
      </c>
      <c r="B11" s="60" t="inlineStr">
        <is>
          <t>TC_AGCY_DTL_010</t>
        </is>
      </c>
      <c r="C11" s="71" t="inlineStr">
        <is>
          <t>Contract and Compensation Settings — Chọn Plan</t>
        </is>
      </c>
      <c r="D11" s="63" t="inlineStr">
        <is>
          <t>Functional</t>
        </is>
      </c>
      <c r="E11" s="63" t="inlineStr">
        <is>
          <t>Critical</t>
        </is>
      </c>
      <c r="F11" s="63" t="inlineStr">
        <is>
          <t>AC-10 / AW_AGCY_004</t>
        </is>
      </c>
      <c r="G11" s="63" t="inlineStr">
        <is>
          <t>Check chọn Plan A và lưu thành công trước kỳ thanh toán đầu</t>
        </is>
      </c>
      <c r="H11" s="71" t="inlineStr">
        <is>
          <t>System Admin đăng nhập. Đại lý AG-2026-0004 chưa có kỳ thanh toán. Tab Contract and Compensation Settings đang mở.</t>
        </is>
      </c>
      <c r="I11" s="63" t="inlineStr">
        <is>
          <t>1. Chọn Plan = "A" từ danh sách các gói
2. Điền thông tin tài khoản ngân hàng hợp lệ
3. Điền thông tin khai báo thuế hợp lệ
4. Nhấn [Lưu]</t>
        </is>
      </c>
      <c r="J11" s="70" t="inlineStr">
        <is>
          <t>- Hệ thống lưu thành công
- Thông báo lưu thành công hiển thị
- Dữ liệu persist: khi reload hoặc chuyển tab rồi quay lại vẫn thấy Plan = A</t>
        </is>
      </c>
      <c r="K11" s="70" t="inlineStr">
        <is>
          <t>ID: AG-2026-0004; Plan: A; Ngân hàng: dữ liệu hợp lệ (xem Notes); Thuế: dữ liệu hợp lệ (xem Notes)</t>
        </is>
      </c>
      <c r="L11" s="70" t="inlineStr">
        <is>
          <t>Critical</t>
        </is>
      </c>
      <c r="M11" s="65" t="n"/>
      <c r="N11" s="66" t="n"/>
      <c r="O11" s="81" t="n"/>
      <c r="P11" s="70" t="n"/>
      <c r="Q11" s="65" t="n"/>
      <c r="R11" s="66" t="n"/>
      <c r="S11" s="81" t="n"/>
      <c r="T11" s="70" t="n"/>
      <c r="U11" s="70" t="n"/>
      <c r="V11" s="70" t="n"/>
      <c r="W11" s="70" t="inlineStr">
        <is>
          <t>⚠️ Cần BA confirm: nội dung chi tiết Plan A (tỷ lệ, điều kiện); tên button Lưu</t>
        </is>
      </c>
      <c r="X11" s="68" t="n"/>
      <c r="Y11" s="68" t="n"/>
      <c r="Z11" s="68" t="n"/>
      <c r="AA11" s="68" t="n"/>
      <c r="AB11" s="68" t="n"/>
      <c r="AC11" s="68" t="n"/>
      <c r="AD11" s="68" t="n"/>
      <c r="AE11" s="68" t="n"/>
      <c r="AF11" s="68" t="n"/>
      <c r="AG11" s="68" t="n"/>
      <c r="AH11" s="68" t="n"/>
      <c r="AI11" s="68" t="n"/>
      <c r="AJ11" s="69" t="n"/>
    </row>
    <row r="12">
      <c r="A12" s="59">
        <f>row()-2</f>
        <v/>
      </c>
      <c r="B12" s="60" t="inlineStr">
        <is>
          <t>TC_AGCY_DTL_011</t>
        </is>
      </c>
      <c r="C12" s="71" t="inlineStr">
        <is>
          <t>Contract and Compensation Settings — 4 lựa chọn Plan</t>
        </is>
      </c>
      <c r="D12" s="63" t="inlineStr">
        <is>
          <t>Functional</t>
        </is>
      </c>
      <c r="E12" s="63" t="inlineStr">
        <is>
          <t>Critical</t>
        </is>
      </c>
      <c r="F12" s="63" t="inlineStr">
        <is>
          <t>AC-10 / AW_AGCY_004</t>
        </is>
      </c>
      <c r="G12" s="63" t="inlineStr">
        <is>
          <t>Check đủ 4 lựa chọn Plan A, B, C, D hiển thị trước kỳ thanh toán đầu</t>
        </is>
      </c>
      <c r="H12" s="71" t="inlineStr">
        <is>
          <t>System Admin đăng nhập. Đại lý AG-2026-0004 chưa có kỳ thanh toán.</t>
        </is>
      </c>
      <c r="I12" s="63" t="inlineStr">
        <is>
          <t>1. Vào tab "Contract and Compensation Settings" của AG-2026-0004
2. Mở control chọn Plan (dropdown/radio group)</t>
        </is>
      </c>
      <c r="J12" s="70" t="inlineStr">
        <is>
          <t>- Có đúng 4 lựa chọn: Plan A, Plan B, Plan C, Plan D
- Tất cả 4 lựa chọn ở trạng thái có thể chọn được
- Không có Plan nào bị disabled</t>
        </is>
      </c>
      <c r="K12" s="70" t="inlineStr">
        <is>
          <t>ID: AG-2026-0004; Trạng thái: chưa có kỳ thanh toán</t>
        </is>
      </c>
      <c r="L12" s="70" t="inlineStr">
        <is>
          <t>High</t>
        </is>
      </c>
      <c r="M12" s="65" t="n"/>
      <c r="N12" s="66" t="n"/>
      <c r="O12" s="81" t="n"/>
      <c r="P12" s="70" t="n"/>
      <c r="Q12" s="65" t="n"/>
      <c r="R12" s="66" t="n"/>
      <c r="S12" s="81" t="n"/>
      <c r="T12" s="70" t="n"/>
      <c r="U12" s="70" t="n"/>
      <c r="V12" s="70" t="n"/>
      <c r="W12" s="70" t="inlineStr">
        <is>
          <t>⚠️ Cần BA confirm: mô tả chi tiết từng Plan hiển thị bên cạnh label A/B/C/D; loại control (radio hay dropdown?)</t>
        </is>
      </c>
      <c r="X12" s="68" t="n"/>
      <c r="Y12" s="68" t="n"/>
      <c r="Z12" s="68" t="n"/>
      <c r="AA12" s="68" t="n"/>
      <c r="AB12" s="68" t="n"/>
      <c r="AC12" s="68" t="n"/>
      <c r="AD12" s="68" t="n"/>
      <c r="AE12" s="68" t="n"/>
      <c r="AF12" s="68" t="n"/>
      <c r="AG12" s="68" t="n"/>
      <c r="AH12" s="68" t="n"/>
      <c r="AI12" s="68" t="n"/>
      <c r="AJ12" s="69" t="n"/>
    </row>
    <row r="13">
      <c r="A13" s="59">
        <f>row()-2</f>
        <v/>
      </c>
      <c r="B13" s="60" t="inlineStr">
        <is>
          <t>TC_AGCY_DTL_012</t>
        </is>
      </c>
      <c r="C13" s="71" t="inlineStr">
        <is>
          <t>Contract and Compensation Settings — Khóa Plan sau kỳ thanh toán đầu (AF-10)</t>
        </is>
      </c>
      <c r="D13" s="63" t="inlineStr">
        <is>
          <t>Functional</t>
        </is>
      </c>
      <c r="E13" s="63" t="inlineStr">
        <is>
          <t>Critical</t>
        </is>
      </c>
      <c r="F13" s="63" t="inlineStr">
        <is>
          <t>AF-10 / AC-10</t>
        </is>
      </c>
      <c r="G13" s="63" t="inlineStr">
        <is>
          <t>Check trường Plan bị khóa read-only sau khi đã có kỳ thanh toán hoa hồng đầu tiên</t>
        </is>
      </c>
      <c r="H13" s="71" t="inlineStr">
        <is>
          <t>System Admin đăng nhập. Đại lý AG-2026-0001 đã có ít nhất 1 bản ghi thanh toán hoa hồng, Plan hiện tại = B.</t>
        </is>
      </c>
      <c r="I13" s="63" t="inlineStr">
        <is>
          <t>1. Vào Agency Detail của AG-2026-0001
2. Nhấn tab "Contract and Compensation Settings"</t>
        </is>
      </c>
      <c r="J13" s="70" t="inlineStr">
        <is>
          <t>- Trường Plan hiển thị giá trị hiện tại "B"
- Trường Plan ở trạng thái read-only: không thể nhấn vào, không thể thay đổi giá trị
- Có indicator visual thể hiện trường bị khóa (VD: grayed out, lock icon)</t>
        </is>
      </c>
      <c r="K13" s="70" t="inlineStr">
        <is>
          <t>ID: AG-2026-0001; Plan hiện tại: B; Số kỳ thanh toán: ít nhất 1</t>
        </is>
      </c>
      <c r="L13" s="70" t="inlineStr">
        <is>
          <t>Critical</t>
        </is>
      </c>
      <c r="M13" s="65" t="n"/>
      <c r="N13" s="66" t="n"/>
      <c r="O13" s="81" t="n"/>
      <c r="P13" s="70" t="n"/>
      <c r="Q13" s="65" t="n"/>
      <c r="R13" s="66" t="n"/>
      <c r="S13" s="81" t="n"/>
      <c r="T13" s="70" t="n"/>
      <c r="U13" s="70" t="n"/>
      <c r="V13" s="70" t="n"/>
      <c r="W13" s="70" t="inlineStr">
        <is>
          <t>⚠️ Cần BA confirm: có tooltip hay text giải thích lý do khóa trường Plan không?</t>
        </is>
      </c>
      <c r="X13" s="68" t="n"/>
      <c r="Y13" s="68" t="n"/>
      <c r="Z13" s="68" t="n"/>
      <c r="AA13" s="68" t="n"/>
      <c r="AB13" s="68" t="n"/>
      <c r="AC13" s="68" t="n"/>
      <c r="AD13" s="68" t="n"/>
      <c r="AE13" s="68" t="n"/>
      <c r="AF13" s="68" t="n"/>
      <c r="AG13" s="68" t="n"/>
      <c r="AH13" s="68" t="n"/>
      <c r="AI13" s="68" t="n"/>
      <c r="AJ13" s="69" t="n"/>
    </row>
    <row r="14">
      <c r="A14" s="59">
        <f>row()-2</f>
        <v/>
      </c>
      <c r="B14" s="60" t="inlineStr">
        <is>
          <t>TC_AGCY_DTL_013</t>
        </is>
      </c>
      <c r="C14" s="71" t="inlineStr">
        <is>
          <t>Contract and Compensation Settings — Trường khác vẫn editable sau kỳ đầu (AF-10)</t>
        </is>
      </c>
      <c r="D14" s="63" t="inlineStr">
        <is>
          <t>Functional</t>
        </is>
      </c>
      <c r="E14" s="63" t="inlineStr">
        <is>
          <t>High</t>
        </is>
      </c>
      <c r="F14" s="63" t="inlineStr">
        <is>
          <t>AF-10 / AC-10</t>
        </is>
      </c>
      <c r="G14" s="63" t="inlineStr">
        <is>
          <t>Check trường tài khoản ngân hàng vẫn có thể sửa và lưu sau kỳ thanh toán đầu</t>
        </is>
      </c>
      <c r="H14" s="71" t="inlineStr">
        <is>
          <t>System Admin đăng nhập. Đại lý AG-2026-0001 đã có kỳ thanh toán, trường Plan đang bị khóa.</t>
        </is>
      </c>
      <c r="I14" s="63" t="inlineStr">
        <is>
          <t>1. Vào tab "Contract and Compensation Settings" của AG-2026-0001
2. Sửa thông tin tài khoản ngân hàng
3. Nhấn [Lưu]</t>
        </is>
      </c>
      <c r="J14" s="70" t="inlineStr">
        <is>
          <t>- Lưu thành công với thông tin ngân hàng mới
- Trường Plan không thay đổi (vẫn = B, vẫn locked)
- Thông báo lưu thành công hiển thị</t>
        </is>
      </c>
      <c r="K14" s="70" t="inlineStr">
        <is>
          <t>ID: AG-2026-0001; Plan khóa: B; Thông tin ngân hàng: cập nhật hợp lệ</t>
        </is>
      </c>
      <c r="L14" s="70" t="inlineStr">
        <is>
          <t>High</t>
        </is>
      </c>
      <c r="M14" s="65" t="n"/>
      <c r="N14" s="66" t="n"/>
      <c r="O14" s="81" t="n"/>
      <c r="P14" s="70" t="n"/>
      <c r="Q14" s="65" t="n"/>
      <c r="R14" s="66" t="n"/>
      <c r="S14" s="81" t="n"/>
      <c r="T14" s="70" t="n"/>
      <c r="U14" s="70" t="n"/>
      <c r="V14" s="70" t="n"/>
      <c r="W14" s="70" t="inlineStr">
        <is>
          <t>⚠️ Cần BA confirm: trường ghi chú nội bộ và khai báo thuế cũng được sửa sau kỳ đầu? (AF-10 nói "các trường khác vẫn cho phép")</t>
        </is>
      </c>
      <c r="X14" s="68" t="n"/>
      <c r="Y14" s="68" t="n"/>
      <c r="Z14" s="68" t="n"/>
      <c r="AA14" s="68" t="n"/>
      <c r="AB14" s="68" t="n"/>
      <c r="AC14" s="68" t="n"/>
      <c r="AD14" s="68" t="n"/>
      <c r="AE14" s="68" t="n"/>
      <c r="AF14" s="68" t="n"/>
      <c r="AG14" s="68" t="n"/>
      <c r="AH14" s="68" t="n"/>
      <c r="AI14" s="68" t="n"/>
      <c r="AJ14" s="69" t="n"/>
    </row>
    <row r="15">
      <c r="A15" s="59">
        <f>row()-2</f>
        <v/>
      </c>
      <c r="B15" s="60" t="inlineStr">
        <is>
          <t>TC_AGCY_DTL_014</t>
        </is>
      </c>
      <c r="C15" s="71" t="inlineStr">
        <is>
          <t>Contract and Compensation Settings — Đổi Plan không hồi tố (AF-09)</t>
        </is>
      </c>
      <c r="D15" s="63" t="inlineStr">
        <is>
          <t>Functional</t>
        </is>
      </c>
      <c r="E15" s="63" t="inlineStr">
        <is>
          <t>Critical</t>
        </is>
      </c>
      <c r="F15" s="63" t="inlineStr">
        <is>
          <t>AF-09 / AC-10</t>
        </is>
      </c>
      <c r="G15" s="63" t="inlineStr">
        <is>
          <t>Check đổi Plan chỉ áp dụng từ thời điểm thay đổi trở đi, không ảnh hưởng kỳ đã thanh toán</t>
        </is>
      </c>
      <c r="H15" s="71" t="inlineStr">
        <is>
          <t>System Admin đăng nhập. Đại lý AG-2026-0004 Plan hiện tại = A, chưa có kỳ thanh toán (Plan chưa bị lock).</t>
        </is>
      </c>
      <c r="I15" s="63" t="inlineStr">
        <is>
          <t>1. Vào tab "Contract and Compensation Settings" của AG-2026-0004
2. Đổi Plan từ A sang C
3. Nhấn [Lưu]
4. Vào tab "Payment History" của cùng đại lý</t>
        </is>
      </c>
      <c r="J15" s="70" t="inlineStr">
        <is>
          <t>- Plan cập nhật thành C kể từ thời điểm lưu
- Nếu đã có kỳ thanh toán cũ (dùng Plan A), các bản ghi cũ trong Payment History giữ nguyên giá trị tính theo Plan A (không bị tính lại)
- Không có hồi tố</t>
        </is>
      </c>
      <c r="K15" s="70" t="inlineStr">
        <is>
          <t>ID: AG-2026-0004; Plan cũ: A; Plan mới: C</t>
        </is>
      </c>
      <c r="L15" s="70" t="inlineStr">
        <is>
          <t>Critical</t>
        </is>
      </c>
      <c r="M15" s="65" t="n"/>
      <c r="N15" s="66" t="n"/>
      <c r="O15" s="81" t="n"/>
      <c r="P15" s="70" t="n"/>
      <c r="Q15" s="65" t="n"/>
      <c r="R15" s="66" t="n"/>
      <c r="S15" s="81" t="n"/>
      <c r="T15" s="70" t="n"/>
      <c r="U15" s="70" t="n"/>
      <c r="V15" s="70" t="n"/>
      <c r="W15" s="70" t="inlineStr">
        <is>
          <t>⚠️ Cần BA confirm: hệ thống có lưu lịch sử đổi Plan (audit log) không?</t>
        </is>
      </c>
      <c r="X15" s="68" t="n"/>
      <c r="Y15" s="68" t="n"/>
      <c r="Z15" s="68" t="n"/>
      <c r="AA15" s="68" t="n"/>
      <c r="AB15" s="68" t="n"/>
      <c r="AC15" s="68" t="n"/>
      <c r="AD15" s="68" t="n"/>
      <c r="AE15" s="68" t="n"/>
      <c r="AF15" s="68" t="n"/>
      <c r="AG15" s="68" t="n"/>
      <c r="AH15" s="68" t="n"/>
      <c r="AI15" s="68" t="n"/>
      <c r="AJ15" s="69" t="n"/>
    </row>
    <row r="16">
      <c r="A16" s="59">
        <f>row()-2</f>
        <v/>
      </c>
      <c r="B16" s="60" t="inlineStr">
        <is>
          <t>TC_AGCY_DTL_015</t>
        </is>
      </c>
      <c r="C16" s="71" t="inlineStr">
        <is>
          <t>Contract and Compensation Settings — Lưu ghi chú nội bộ</t>
        </is>
      </c>
      <c r="D16" s="63" t="inlineStr">
        <is>
          <t>Functional</t>
        </is>
      </c>
      <c r="E16" s="63" t="inlineStr">
        <is>
          <t>Medium</t>
        </is>
      </c>
      <c r="F16" s="63" t="inlineStr">
        <is>
          <t>AC-10 / AW_AGCY_004</t>
        </is>
      </c>
      <c r="G16" s="63" t="inlineStr">
        <is>
          <t>Check nhập và lưu ghi chú nội bộ thành công</t>
        </is>
      </c>
      <c r="H16" s="63" t="inlineStr">
        <is>
          <t>System Admin đăng nhập. Tab Contract and Compensation Settings đang mở cho AG-2026-0001.</t>
        </is>
      </c>
      <c r="I16" s="63" t="inlineStr">
        <is>
          <t>1. Xóa nội dung cũ trong trường Ghi chú nội bộ
2. Nhập "Đại lý khu vực Tokyo, ưu tiên liên hệ qua email"
3. Nhấn [Lưu]</t>
        </is>
      </c>
      <c r="J16" s="70" t="inlineStr">
        <is>
          <t>- Ghi chú lưu thành công
- Nội dung hiển thị đúng khi vào lại tab: "Đại lý khu vực Tokyo, ưu tiên liên hệ qua email"
- Không mất nội dung sau reload</t>
        </is>
      </c>
      <c r="K16" s="70" t="inlineStr">
        <is>
          <t>ID: AG-2026-0001; Ghi chú: "Đại lý khu vực Tokyo, ưu tiên liên hệ qua email"</t>
        </is>
      </c>
      <c r="L16" s="70" t="inlineStr">
        <is>
          <t>Medium</t>
        </is>
      </c>
      <c r="M16" s="65" t="n"/>
      <c r="N16" s="66" t="n"/>
      <c r="O16" s="81" t="n"/>
      <c r="P16" s="70" t="n"/>
      <c r="Q16" s="65" t="n"/>
      <c r="R16" s="66" t="n"/>
      <c r="S16" s="81" t="n"/>
      <c r="T16" s="70" t="n"/>
      <c r="U16" s="70" t="n"/>
      <c r="V16" s="70" t="n"/>
      <c r="W16" s="70" t="inlineStr">
        <is>
          <t>-</t>
        </is>
      </c>
      <c r="X16" s="68" t="n"/>
      <c r="Y16" s="68" t="n"/>
      <c r="Z16" s="68" t="n"/>
      <c r="AA16" s="68" t="n"/>
      <c r="AB16" s="68" t="n"/>
      <c r="AC16" s="68" t="n"/>
      <c r="AD16" s="68" t="n"/>
      <c r="AE16" s="68" t="n"/>
      <c r="AF16" s="68" t="n"/>
      <c r="AG16" s="68" t="n"/>
      <c r="AH16" s="68" t="n"/>
      <c r="AI16" s="68" t="n"/>
      <c r="AJ16" s="69" t="n"/>
    </row>
    <row r="17">
      <c r="A17" s="59">
        <f>row()-2</f>
        <v/>
      </c>
      <c r="B17" s="60" t="inlineStr">
        <is>
          <t>TC_AGCY_DTL_016</t>
        </is>
      </c>
      <c r="C17" s="71" t="inlineStr">
        <is>
          <t>Contract and Compensation Settings — Ghi chú rỗng</t>
        </is>
      </c>
      <c r="D17" s="63" t="inlineStr">
        <is>
          <t>Validation</t>
        </is>
      </c>
      <c r="E17" s="63" t="inlineStr">
        <is>
          <t>Low</t>
        </is>
      </c>
      <c r="F17" s="63" t="inlineStr">
        <is>
          <t>AC-10 / AW_AGCY_004</t>
        </is>
      </c>
      <c r="G17" s="63" t="inlineStr">
        <is>
          <t>Check lưu form khi trường Ghi chú nội bộ để trống</t>
        </is>
      </c>
      <c r="H17" s="63" t="inlineStr">
        <is>
          <t>System Admin đăng nhập. Tab Contract and Compensation Settings đang mở. Plan đã chọn. Các trường bắt buộc đã điền.</t>
        </is>
      </c>
      <c r="I17" s="63" t="inlineStr">
        <is>
          <t>1. Để trống trường Ghi chú nội bộ
2. Nhấn [Lưu]</t>
        </is>
      </c>
      <c r="J17" s="70" t="inlineStr">
        <is>
          <t>- Form lưu thành công (nếu ghi chú là optional)
- Không hiển thị lỗi validation cho trường ghi chú</t>
        </is>
      </c>
      <c r="K17" s="70" t="inlineStr">
        <is>
          <t>ID: AG-2026-0001; Ghi chú: (rỗng)</t>
        </is>
      </c>
      <c r="L17" s="70" t="inlineStr">
        <is>
          <t>Low</t>
        </is>
      </c>
      <c r="M17" s="65" t="n"/>
      <c r="N17" s="66" t="n"/>
      <c r="O17" s="81" t="n"/>
      <c r="P17" s="70" t="n"/>
      <c r="Q17" s="65" t="n"/>
      <c r="R17" s="66" t="n"/>
      <c r="S17" s="81" t="n"/>
      <c r="T17" s="70" t="n"/>
      <c r="U17" s="81" t="n"/>
      <c r="V17" s="81" t="n"/>
      <c r="W17" s="81" t="inlineStr">
        <is>
          <t>⚠️ Cần BA confirm: trường ghi chú nội bộ là optional hay required?</t>
        </is>
      </c>
      <c r="X17" s="68" t="n"/>
      <c r="Y17" s="68" t="n"/>
      <c r="Z17" s="68" t="n"/>
      <c r="AA17" s="68" t="n"/>
      <c r="AB17" s="68" t="n"/>
      <c r="AC17" s="68" t="n"/>
      <c r="AD17" s="68" t="n"/>
      <c r="AE17" s="68" t="n"/>
      <c r="AF17" s="68" t="n"/>
      <c r="AG17" s="68" t="n"/>
      <c r="AH17" s="68" t="n"/>
      <c r="AI17" s="68" t="n"/>
      <c r="AJ17" s="69" t="n"/>
    </row>
    <row r="18">
      <c r="A18" s="59">
        <f>row()-2</f>
        <v/>
      </c>
      <c r="B18" s="60" t="inlineStr">
        <is>
          <t>TC_AGCY_DTL_017</t>
        </is>
      </c>
      <c r="C18" s="71" t="inlineStr">
        <is>
          <t>Performance Summary (AW_AGCY_005)</t>
        </is>
      </c>
      <c r="D18" s="63" t="inlineStr">
        <is>
          <t>Functional</t>
        </is>
      </c>
      <c r="E18" s="63" t="inlineStr">
        <is>
          <t>Critical</t>
        </is>
      </c>
      <c r="F18" s="63" t="inlineStr">
        <is>
          <t>AC-10 / AW_AGCY_005</t>
        </is>
      </c>
      <c r="G18" s="63" t="inlineStr">
        <is>
          <t>Check tab Performance Summary hiển thị đúng 4 chỉ số lũy kế</t>
        </is>
      </c>
      <c r="H18" s="63" t="inlineStr">
        <is>
          <t>System Admin đăng nhập. Đại lý AG-2026-0001 có: tổng 5 referral, 3 referral đang active (Ký), đã trả 500.000, chưa trả 100.000.</t>
        </is>
      </c>
      <c r="I18" s="63" t="inlineStr">
        <is>
          <t>1. Vào Agency Detail của AG-2026-0001
2. Nhấn tab "Performance Summary"</t>
        </is>
      </c>
      <c r="J18" s="70" t="inlineStr">
        <is>
          <t>- Hiển thị "Lũy kế KH giới thiệu": 5
- Hiển thị "KH đang active": 3
- Hiển thị "Tổng hoa hồng đã trả": 500.000
- Hiển thị "Số tiền chưa trả": 100.000
- Không có số liệu nào hiển thị sai hoặc N/A</t>
        </is>
      </c>
      <c r="K18" s="70" t="inlineStr">
        <is>
          <t>ID: AG-2026-0001; Tổng referral: 5; Active: 3; Đã trả: 500.000; Chưa trả: 100.000</t>
        </is>
      </c>
      <c r="L18" s="70" t="inlineStr">
        <is>
          <t>Critical</t>
        </is>
      </c>
      <c r="M18" s="65" t="n"/>
      <c r="N18" s="66" t="n"/>
      <c r="O18" s="81" t="n"/>
      <c r="P18" s="70" t="n"/>
      <c r="Q18" s="65" t="n"/>
      <c r="R18" s="66" t="n"/>
      <c r="S18" s="81" t="n"/>
      <c r="T18" s="70" t="n"/>
      <c r="U18" s="81" t="n"/>
      <c r="V18" s="81" t="n"/>
      <c r="W18" s="81" t="inlineStr">
        <is>
          <t>⚠️ Cần BA confirm: đơn vị tiền tệ (VND hay JPY?); format hiển thị số (dấu phân cách nghìn)</t>
        </is>
      </c>
      <c r="X18" s="68" t="n"/>
      <c r="Y18" s="68" t="n"/>
      <c r="Z18" s="68" t="n"/>
      <c r="AA18" s="68" t="n"/>
      <c r="AB18" s="68" t="n"/>
      <c r="AC18" s="68" t="n"/>
      <c r="AD18" s="68" t="n"/>
      <c r="AE18" s="68" t="n"/>
      <c r="AF18" s="68" t="n"/>
      <c r="AG18" s="68" t="n"/>
      <c r="AH18" s="68" t="n"/>
      <c r="AI18" s="68" t="n"/>
      <c r="AJ18" s="69" t="n"/>
    </row>
    <row r="19">
      <c r="A19" s="59">
        <f>row()-2</f>
        <v/>
      </c>
      <c r="B19" s="60" t="inlineStr">
        <is>
          <t>TC_AGCY_DTL_018</t>
        </is>
      </c>
      <c r="C19" s="71" t="inlineStr">
        <is>
          <t>Performance Summary — Lũy kế nhất quán với Referral History</t>
        </is>
      </c>
      <c r="D19" s="63" t="inlineStr">
        <is>
          <t>Functional</t>
        </is>
      </c>
      <c r="E19" s="63" t="inlineStr">
        <is>
          <t>High</t>
        </is>
      </c>
      <c r="F19" s="63" t="inlineStr">
        <is>
          <t>AC-10 / AW_AGCY_005</t>
        </is>
      </c>
      <c r="G19" s="63" t="inlineStr">
        <is>
          <t>Check số liệu "Lũy kế KH giới thiệu" trong Performance Summary khớp với tổng bản ghi trong Referral History</t>
        </is>
      </c>
      <c r="H19" s="71" t="inlineStr">
        <is>
          <t>System Admin đăng nhập. Đại lý AG-2026-0001 có dữ liệu referral.</t>
        </is>
      </c>
      <c r="I19" s="63" t="inlineStr">
        <is>
          <t>1. Vào tab "Performance Summary" của AG-2026-0001 → ghi nhận giá trị "Lũy kế KH giới thiệu" = N
2. Nhấn sang tab "Referral History" → đếm tổng số bản ghi trong danh sách</t>
        </is>
      </c>
      <c r="J19" s="70" t="inlineStr">
        <is>
          <t>- Tổng bản ghi trong Referral History = N (bằng giá trị Lũy kế KH)</t>
        </is>
      </c>
      <c r="K19" s="70" t="inlineStr">
        <is>
          <t>ID: AG-2026-0001; Lũy kế KH = 5; Bản ghi Referral History = 5</t>
        </is>
      </c>
      <c r="L19" s="70" t="inlineStr">
        <is>
          <t>High</t>
        </is>
      </c>
      <c r="M19" s="65" t="n"/>
      <c r="N19" s="66" t="n"/>
      <c r="O19" s="81" t="n"/>
      <c r="P19" s="70" t="n"/>
      <c r="Q19" s="65" t="n"/>
      <c r="R19" s="66" t="n"/>
      <c r="S19" s="81" t="n"/>
      <c r="T19" s="70" t="n"/>
      <c r="U19" s="70" t="n"/>
      <c r="V19" s="70" t="n"/>
      <c r="W19" s="70" t="inlineStr">
        <is>
          <t>-</t>
        </is>
      </c>
      <c r="X19" s="68" t="n"/>
      <c r="Y19" s="68" t="n"/>
      <c r="Z19" s="68" t="n"/>
      <c r="AA19" s="68" t="n"/>
      <c r="AB19" s="68" t="n"/>
      <c r="AC19" s="68" t="n"/>
      <c r="AD19" s="68" t="n"/>
      <c r="AE19" s="68" t="n"/>
      <c r="AF19" s="68" t="n"/>
      <c r="AG19" s="68" t="n"/>
      <c r="AH19" s="68" t="n"/>
      <c r="AI19" s="68" t="n"/>
      <c r="AJ19" s="69" t="n"/>
    </row>
    <row r="20">
      <c r="A20" s="59">
        <f>row()-2</f>
        <v/>
      </c>
      <c r="B20" s="60" t="inlineStr">
        <is>
          <t>TC_AGCY_DTL_019</t>
        </is>
      </c>
      <c r="C20" s="71" t="inlineStr">
        <is>
          <t>Performance Summary — KH active nhất quán với Referral History</t>
        </is>
      </c>
      <c r="D20" s="63" t="inlineStr">
        <is>
          <t>Functional</t>
        </is>
      </c>
      <c r="E20" s="63" t="inlineStr">
        <is>
          <t>High</t>
        </is>
      </c>
      <c r="F20" s="63" t="inlineStr">
        <is>
          <t>AC-10 / AW_AGCY_005</t>
        </is>
      </c>
      <c r="G20" s="63" t="inlineStr">
        <is>
          <t>Check "KH đang active" khớp với số bản ghi trạng thái "Ký" trong Referral History</t>
        </is>
      </c>
      <c r="H20" s="71" t="inlineStr">
        <is>
          <t>System Admin đăng nhập. Đại lý AG-2026-0001 có 3 referral trạng thái Ký.</t>
        </is>
      </c>
      <c r="I20" s="63" t="inlineStr">
        <is>
          <t>1. Vào tab "Performance Summary" của AG-2026-0001 → ghi nhận "KH đang active" = M
2. Nhấn sang tab "Referral History" → đếm số bản ghi có trạng thái "Ký"</t>
        </is>
      </c>
      <c r="J20" s="70" t="inlineStr">
        <is>
          <t>- Số bản ghi "Ký" trong Referral History = M</t>
        </is>
      </c>
      <c r="K20" s="70" t="inlineStr">
        <is>
          <t>ID: AG-2026-0001; KH active = 3; Referral "Ký" = 3</t>
        </is>
      </c>
      <c r="L20" s="70" t="inlineStr">
        <is>
          <t>High</t>
        </is>
      </c>
      <c r="M20" s="65" t="n"/>
      <c r="N20" s="66" t="n"/>
      <c r="O20" s="81" t="n"/>
      <c r="P20" s="70" t="n"/>
      <c r="Q20" s="65" t="n"/>
      <c r="R20" s="66" t="n"/>
      <c r="S20" s="81" t="n"/>
      <c r="T20" s="70" t="n"/>
      <c r="U20" s="70" t="n"/>
      <c r="V20" s="70" t="n"/>
      <c r="W20" s="70" t="inlineStr">
        <is>
          <t>⚠️ Cần BA confirm: "KH active" = chỉ "Ký", hay bao gồm cả "Đang đàm phán"?</t>
        </is>
      </c>
      <c r="X20" s="68" t="n"/>
      <c r="Y20" s="68" t="n"/>
      <c r="Z20" s="68" t="n"/>
      <c r="AA20" s="68" t="n"/>
      <c r="AB20" s="68" t="n"/>
      <c r="AC20" s="68" t="n"/>
      <c r="AD20" s="68" t="n"/>
      <c r="AE20" s="68" t="n"/>
      <c r="AF20" s="68" t="n"/>
      <c r="AG20" s="68" t="n"/>
      <c r="AH20" s="68" t="n"/>
      <c r="AI20" s="68" t="n"/>
      <c r="AJ20" s="69" t="n"/>
    </row>
    <row r="21">
      <c r="A21" s="59">
        <f>row()-2</f>
        <v/>
      </c>
      <c r="B21" s="60" t="inlineStr">
        <is>
          <t>TC_AGCY_DTL_020</t>
        </is>
      </c>
      <c r="C21" s="71" t="inlineStr">
        <is>
          <t>Performance Summary — Tổng đã trả nhất quán với Payment History</t>
        </is>
      </c>
      <c r="D21" s="63" t="inlineStr">
        <is>
          <t>Functional</t>
        </is>
      </c>
      <c r="E21" s="63" t="inlineStr">
        <is>
          <t>Critical</t>
        </is>
      </c>
      <c r="F21" s="63" t="inlineStr">
        <is>
          <t>AC-10 / AW_AGCY_005</t>
        </is>
      </c>
      <c r="G21" s="63" t="inlineStr">
        <is>
          <t>Check "Tổng hoa hồng đã trả" trong Performance Summary = tổng tiền bản ghi "Đã chuyển" trong Payment History</t>
        </is>
      </c>
      <c r="H21" s="71" t="inlineStr">
        <is>
          <t>System Admin đăng nhập. AG-2026-0001: Payment History có 2 bản ghi Đã chuyển (200.000 + 300.000 = 500.000).</t>
        </is>
      </c>
      <c r="I21" s="63" t="inlineStr">
        <is>
          <t>1. Vào tab "Performance Summary" → ghi nhận "Tổng hoa hồng đã trả"
2. Nhấn sang tab "Payment History" → cộng tổng số tiền các bản ghi "Đã chuyển"</t>
        </is>
      </c>
      <c r="J21" s="70" t="inlineStr">
        <is>
          <t>- Giá trị "Tổng hoa hồng đã trả" trong Performance Summary = 500.000 = tổng cộng từ Payment History</t>
        </is>
      </c>
      <c r="K21" s="70" t="inlineStr">
        <is>
          <t>ID: AG-2026-0001; Bản ghi Payment Đã chuyển: 200.000 + 300.000 = 500.000</t>
        </is>
      </c>
      <c r="L21" s="70" t="inlineStr">
        <is>
          <t>Critical</t>
        </is>
      </c>
      <c r="M21" s="65" t="n"/>
      <c r="N21" s="66" t="n"/>
      <c r="O21" s="81" t="n"/>
      <c r="P21" s="70" t="n"/>
      <c r="Q21" s="65" t="n"/>
      <c r="R21" s="66" t="n"/>
      <c r="S21" s="81" t="n"/>
      <c r="T21" s="70" t="n"/>
      <c r="U21" s="70" t="n"/>
      <c r="V21" s="70" t="n"/>
      <c r="W21" s="70" t="inlineStr">
        <is>
          <t>-</t>
        </is>
      </c>
      <c r="X21" s="68" t="n"/>
      <c r="Y21" s="68" t="n"/>
      <c r="Z21" s="68" t="n"/>
      <c r="AA21" s="68" t="n"/>
      <c r="AB21" s="68" t="n"/>
      <c r="AC21" s="68" t="n"/>
      <c r="AD21" s="68" t="n"/>
      <c r="AE21" s="68" t="n"/>
      <c r="AF21" s="68" t="n"/>
      <c r="AG21" s="68" t="n"/>
      <c r="AH21" s="68" t="n"/>
      <c r="AI21" s="68" t="n"/>
      <c r="AJ21" s="69" t="n"/>
    </row>
    <row r="22">
      <c r="A22" s="59">
        <f>row()-2</f>
        <v/>
      </c>
      <c r="B22" s="60" t="inlineStr">
        <is>
          <t>TC_AGCY_DTL_021</t>
        </is>
      </c>
      <c r="C22" s="71" t="inlineStr">
        <is>
          <t>Performance Summary — Empty state</t>
        </is>
      </c>
      <c r="D22" s="63" t="inlineStr">
        <is>
          <t>UI</t>
        </is>
      </c>
      <c r="E22" s="63" t="inlineStr">
        <is>
          <t>Medium</t>
        </is>
      </c>
      <c r="F22" s="63" t="inlineStr">
        <is>
          <t>AC-10 / AW_AGCY_005</t>
        </is>
      </c>
      <c r="G22" s="63" t="inlineStr">
        <is>
          <t>Check hiển thị đúng khi đại lý mới chưa có referral và chưa có payment</t>
        </is>
      </c>
      <c r="H22" s="71" t="inlineStr">
        <is>
          <t>System Admin đăng nhập. Đại lý AG-2026-0004 mới tạo, 0 referral, 0 payment.</t>
        </is>
      </c>
      <c r="I22" s="63" t="inlineStr">
        <is>
          <t>1. Vào Agency Detail của AG-2026-0004
2. Nhấn tab "Performance Summary"</t>
        </is>
      </c>
      <c r="J22" s="70" t="inlineStr">
        <is>
          <t>- Lũy kế KH giới thiệu: hiển thị 0 (không phải lỗi hoặc N/A)
- KH đang active: 0
- Tổng hoa hồng đã trả: 0 (hoặc 0đ)
- Số tiền chưa trả: 0
- Không có crash hay lỗi hiển thị</t>
        </is>
      </c>
      <c r="K22" s="70" t="inlineStr">
        <is>
          <t>ID: AG-2026-0004; Tất cả chỉ số = 0</t>
        </is>
      </c>
      <c r="L22" s="70" t="inlineStr">
        <is>
          <t>Medium</t>
        </is>
      </c>
      <c r="M22" s="65" t="n"/>
      <c r="N22" s="66" t="n"/>
      <c r="O22" s="81" t="n"/>
      <c r="P22" s="70" t="n"/>
      <c r="Q22" s="65" t="n"/>
      <c r="R22" s="66" t="n"/>
      <c r="S22" s="81" t="n"/>
      <c r="T22" s="70" t="n"/>
      <c r="U22" s="70" t="n"/>
      <c r="V22" s="70" t="n"/>
      <c r="W22" s="70" t="inlineStr">
        <is>
          <t>-</t>
        </is>
      </c>
      <c r="X22" s="68" t="n"/>
      <c r="Y22" s="68" t="n"/>
      <c r="Z22" s="68" t="n"/>
      <c r="AA22" s="68" t="n"/>
      <c r="AB22" s="68" t="n"/>
      <c r="AC22" s="68" t="n"/>
      <c r="AD22" s="68" t="n"/>
      <c r="AE22" s="68" t="n"/>
      <c r="AF22" s="68" t="n"/>
      <c r="AG22" s="68" t="n"/>
      <c r="AH22" s="68" t="n"/>
      <c r="AI22" s="68" t="n"/>
      <c r="AJ22" s="69" t="n"/>
    </row>
    <row r="23">
      <c r="A23" s="59">
        <f>row()-2</f>
        <v/>
      </c>
      <c r="B23" s="60" t="inlineStr">
        <is>
          <t>TC_AGCY_DTL_022</t>
        </is>
      </c>
      <c r="C23" s="71" t="inlineStr">
        <is>
          <t>Referral History (AW_AGCY_006)</t>
        </is>
      </c>
      <c r="D23" s="63" t="inlineStr">
        <is>
          <t>Functional</t>
        </is>
      </c>
      <c r="E23" s="63" t="inlineStr">
        <is>
          <t>Critical</t>
        </is>
      </c>
      <c r="F23" s="63" t="inlineStr">
        <is>
          <t>AC-10 / AW_AGCY_006</t>
        </is>
      </c>
      <c r="G23" s="71" t="inlineStr">
        <is>
          <t>Check tab Referral History hiển thị danh sách đầy đủ với các cột thông tin đúng</t>
        </is>
      </c>
      <c r="H23" s="71" t="inlineStr">
        <is>
          <t>System Admin đăng nhập. AG-2026-0001 có 3 referral: KH001 (Ký, 6 tháng, hoa hồng tháng 50.000), KH002 (Đang đàm phán, 2 tháng, 0), KH003 (Hủy, 3 tháng, 0).</t>
        </is>
      </c>
      <c r="I23" s="71" t="inlineStr">
        <is>
          <t>1. Vào Agency Detail của AG-2026-0001
2. Nhấn tab "Referral History"</t>
        </is>
      </c>
      <c r="J23" s="70" t="inlineStr">
        <is>
          <t>- Hiển thị 3 bản ghi trong danh sách
- Mỗi bản ghi có đủ: Tên KH được giới thiệu / Tình trạng / Số tháng đã trôi qua / Hoa hồng tháng này
- KH001: Ký / 6 / 50.000
- KH002: Đang đàm phán / 2 / 0
- KH003: Hủy / 3 / 0</t>
        </is>
      </c>
      <c r="K23" s="70" t="inlineStr">
        <is>
          <t>ID: AG-2026-0001; KH001=Ký+6th+50000; KH002=Đang đàm phán+2th+0; KH003=Hủy+3th+0</t>
        </is>
      </c>
      <c r="L23" s="70" t="inlineStr">
        <is>
          <t>Critical</t>
        </is>
      </c>
      <c r="M23" s="65" t="n"/>
      <c r="N23" s="66" t="n"/>
      <c r="O23" s="81" t="n"/>
      <c r="P23" s="70" t="n"/>
      <c r="Q23" s="65" t="n"/>
      <c r="R23" s="66" t="n"/>
      <c r="S23" s="81" t="n"/>
      <c r="T23" s="70" t="n"/>
      <c r="U23" s="70" t="n"/>
      <c r="V23" s="70" t="n"/>
      <c r="W23" s="70" t="inlineStr">
        <is>
          <t>⚠️ Cần BA confirm: tên cột tiêu đề bảng; có phân trang không và page size là bao nhiêu?</t>
        </is>
      </c>
      <c r="X23" s="68" t="n"/>
      <c r="Y23" s="68" t="n"/>
      <c r="Z23" s="68" t="n"/>
      <c r="AA23" s="68" t="n"/>
      <c r="AB23" s="68" t="n"/>
      <c r="AC23" s="68" t="n"/>
      <c r="AD23" s="68" t="n"/>
      <c r="AE23" s="68" t="n"/>
      <c r="AF23" s="68" t="n"/>
      <c r="AG23" s="68" t="n"/>
      <c r="AH23" s="68" t="n"/>
      <c r="AI23" s="68" t="n"/>
      <c r="AJ23" s="69" t="n"/>
    </row>
    <row r="24">
      <c r="A24" s="59">
        <f>row()-2</f>
        <v/>
      </c>
      <c r="B24" s="60" t="inlineStr">
        <is>
          <t>TC_AGCY_DTL_023</t>
        </is>
      </c>
      <c r="C24" s="71" t="inlineStr">
        <is>
          <t>Referral History — Trạng thái "Đang đàm phán"</t>
        </is>
      </c>
      <c r="D24" s="71" t="inlineStr">
        <is>
          <t>Functional</t>
        </is>
      </c>
      <c r="E24" s="71" t="inlineStr">
        <is>
          <t>Medium</t>
        </is>
      </c>
      <c r="F24" s="71" t="inlineStr">
        <is>
          <t>AC-10 / AW_AGCY_006</t>
        </is>
      </c>
      <c r="G24" s="71" t="inlineStr">
        <is>
          <t>Check bản ghi referral trạng thái "Đang đàm phán" hiển thị đúng</t>
        </is>
      </c>
      <c r="H24" s="71" t="inlineStr">
        <is>
          <t>System Admin đăng nhập. AG-2026-0001 có KH002 trạng thái Đang đàm phán, 2 tháng.</t>
        </is>
      </c>
      <c r="I24" s="71" t="inlineStr">
        <is>
          <t>1. Vào tab "Referral History" của AG-2026-0001
2. Xác định bản ghi KH002</t>
        </is>
      </c>
      <c r="J24" s="70" t="inlineStr">
        <is>
          <t>- Tình trạng hiển thị nhãn "Đang đàm phán" với badge tương ứng
- Số tháng đã trôi qua: 2
- Hoa hồng tháng này: 0</t>
        </is>
      </c>
      <c r="K24" s="70" t="inlineStr">
        <is>
          <t>KH002: trạng thái Đang đàm phán; 2 tháng</t>
        </is>
      </c>
      <c r="L24" s="70" t="inlineStr">
        <is>
          <t>Medium</t>
        </is>
      </c>
      <c r="M24" s="65" t="n"/>
      <c r="N24" s="66" t="n"/>
      <c r="O24" s="81" t="n"/>
      <c r="P24" s="70" t="n"/>
      <c r="Q24" s="65" t="n"/>
      <c r="R24" s="66" t="n"/>
      <c r="S24" s="81" t="n"/>
      <c r="T24" s="70" t="n"/>
      <c r="U24" s="70" t="n"/>
      <c r="V24" s="70" t="n"/>
      <c r="W24" s="70" t="inlineStr">
        <is>
          <t>⚠️ Cần BA confirm: hoa hồng tháng = 0 khi KH chưa "Ký"?</t>
        </is>
      </c>
      <c r="X24" s="68" t="n"/>
      <c r="Y24" s="68" t="n"/>
      <c r="Z24" s="68" t="n"/>
      <c r="AA24" s="68" t="n"/>
      <c r="AB24" s="68" t="n"/>
      <c r="AC24" s="68" t="n"/>
      <c r="AD24" s="68" t="n"/>
      <c r="AE24" s="68" t="n"/>
      <c r="AF24" s="68" t="n"/>
      <c r="AG24" s="68" t="n"/>
      <c r="AH24" s="68" t="n"/>
      <c r="AI24" s="68" t="n"/>
      <c r="AJ24" s="69" t="n"/>
    </row>
    <row r="25">
      <c r="A25" s="59">
        <f>row()-2</f>
        <v/>
      </c>
      <c r="B25" s="60" t="inlineStr">
        <is>
          <t>TC_AGCY_DTL_024</t>
        </is>
      </c>
      <c r="C25" s="71" t="inlineStr">
        <is>
          <t>Referral History — Trạng thái "Ký"</t>
        </is>
      </c>
      <c r="D25" s="71" t="inlineStr">
        <is>
          <t>Functional</t>
        </is>
      </c>
      <c r="E25" s="71" t="inlineStr">
        <is>
          <t>High</t>
        </is>
      </c>
      <c r="F25" s="71" t="inlineStr">
        <is>
          <t>AC-10 / AW_AGCY_006</t>
        </is>
      </c>
      <c r="G25" s="71" t="inlineStr">
        <is>
          <t>Check bản ghi referral trạng thái "Ký" hiển thị đúng số tháng và hoa hồng tháng này</t>
        </is>
      </c>
      <c r="H25" s="71" t="inlineStr">
        <is>
          <t>System Admin đăng nhập. AG-2026-0001 có KH001 trạng thái Ký, 6 tháng, hoa hồng tháng = 50.000.</t>
        </is>
      </c>
      <c r="I25" s="71" t="inlineStr">
        <is>
          <t>1. Vào tab "Referral History" của AG-2026-0001
2. Xác định bản ghi KH001</t>
        </is>
      </c>
      <c r="J25" s="70" t="inlineStr">
        <is>
          <t>- Tình trạng: Ký
- Số tháng đã trôi qua: 6
- Hoa hồng tháng này: 50.000 (giá trị dương, không phải 0)</t>
        </is>
      </c>
      <c r="K25" s="70" t="inlineStr">
        <is>
          <t>KH001: Ký; 6 tháng; hoa hồng 50.000</t>
        </is>
      </c>
      <c r="L25" s="70" t="inlineStr">
        <is>
          <t>High</t>
        </is>
      </c>
      <c r="M25" s="65" t="n"/>
      <c r="N25" s="66" t="n"/>
      <c r="O25" s="81" t="n"/>
      <c r="P25" s="70" t="n"/>
      <c r="Q25" s="65" t="n"/>
      <c r="R25" s="66" t="n"/>
      <c r="S25" s="81" t="n"/>
      <c r="T25" s="70" t="n"/>
      <c r="U25" s="70" t="n"/>
      <c r="V25" s="70" t="n"/>
      <c r="W25" s="70" t="inlineStr">
        <is>
          <t>⚠️ Cần BA confirm: "Hoa hồng tháng này" tính theo công thức gì (Plan x doanh thu KH tháng đó?)</t>
        </is>
      </c>
      <c r="X25" s="68" t="n"/>
      <c r="Y25" s="68" t="n"/>
      <c r="Z25" s="68" t="n"/>
      <c r="AA25" s="68" t="n"/>
      <c r="AB25" s="68" t="n"/>
      <c r="AC25" s="68" t="n"/>
      <c r="AD25" s="68" t="n"/>
      <c r="AE25" s="68" t="n"/>
      <c r="AF25" s="68" t="n"/>
      <c r="AG25" s="68" t="n"/>
      <c r="AH25" s="68" t="n"/>
      <c r="AI25" s="68" t="n"/>
      <c r="AJ25" s="69" t="n"/>
    </row>
    <row r="26">
      <c r="A26" s="59">
        <f>row()-2</f>
        <v/>
      </c>
      <c r="B26" s="60" t="inlineStr">
        <is>
          <t>TC_AGCY_DTL_025</t>
        </is>
      </c>
      <c r="C26" s="70" t="inlineStr">
        <is>
          <t>Referral History — Trạng thái "Hủy"</t>
        </is>
      </c>
      <c r="D26" s="70" t="inlineStr">
        <is>
          <t>Functional</t>
        </is>
      </c>
      <c r="E26" s="70" t="inlineStr">
        <is>
          <t>Medium</t>
        </is>
      </c>
      <c r="F26" s="70" t="inlineStr">
        <is>
          <t>AC-10 / AW_AGCY_006</t>
        </is>
      </c>
      <c r="G26" s="70" t="inlineStr">
        <is>
          <t>Check bản ghi referral trạng thái "Hủy" hiển thị đúng, hoa hồng = 0</t>
        </is>
      </c>
      <c r="H26" s="70" t="inlineStr">
        <is>
          <t>System Admin đăng nhập. AG-2026-0001 có KH003 trạng thái Hủy.</t>
        </is>
      </c>
      <c r="I26" s="70" t="inlineStr">
        <is>
          <t>1. Vào tab "Referral History" của AG-2026-0001
2. Xác định bản ghi KH003</t>
        </is>
      </c>
      <c r="J26" s="70" t="inlineStr">
        <is>
          <t>- Tình trạng: Hủy
- Hoa hồng tháng này: 0 (không phát sinh hoa hồng sau khi referral hủy)</t>
        </is>
      </c>
      <c r="K26" s="70" t="inlineStr">
        <is>
          <t>KH003: trạng thái Hủy; 3 tháng</t>
        </is>
      </c>
      <c r="L26" s="70" t="inlineStr">
        <is>
          <t>Medium</t>
        </is>
      </c>
      <c r="M26" s="65" t="n"/>
      <c r="N26" s="66" t="n"/>
      <c r="O26" s="81" t="n"/>
      <c r="P26" s="70" t="n"/>
      <c r="Q26" s="65" t="n"/>
      <c r="R26" s="66" t="n"/>
      <c r="S26" s="81" t="n"/>
      <c r="T26" s="70" t="n"/>
      <c r="U26" s="70" t="n"/>
      <c r="V26" s="70" t="n"/>
      <c r="W26" s="70" t="inlineStr">
        <is>
          <t>-</t>
        </is>
      </c>
      <c r="X26" s="68" t="n"/>
      <c r="Y26" s="68" t="n"/>
      <c r="Z26" s="68" t="n"/>
      <c r="AA26" s="68" t="n"/>
      <c r="AB26" s="68" t="n"/>
      <c r="AC26" s="68" t="n"/>
      <c r="AD26" s="68" t="n"/>
      <c r="AE26" s="68" t="n"/>
      <c r="AF26" s="68" t="n"/>
      <c r="AG26" s="68" t="n"/>
      <c r="AH26" s="68" t="n"/>
      <c r="AI26" s="68" t="n"/>
      <c r="AJ26" s="69" t="n"/>
    </row>
    <row r="27">
      <c r="A27" s="59">
        <f>row()-2</f>
        <v/>
      </c>
      <c r="B27" s="60" t="inlineStr">
        <is>
          <t>TC_AGCY_DTL_026</t>
        </is>
      </c>
      <c r="C27" s="70" t="inlineStr">
        <is>
          <t>Referral History — Empty state</t>
        </is>
      </c>
      <c r="D27" s="70" t="inlineStr">
        <is>
          <t>UI</t>
        </is>
      </c>
      <c r="E27" s="70" t="inlineStr">
        <is>
          <t>Medium</t>
        </is>
      </c>
      <c r="F27" s="70" t="inlineStr">
        <is>
          <t>AC-10 / AW_AGCY_006</t>
        </is>
      </c>
      <c r="G27" s="70" t="inlineStr">
        <is>
          <t>Check hiển thị empty state khi đại lý chưa có referral nào</t>
        </is>
      </c>
      <c r="H27" s="70" t="inlineStr">
        <is>
          <t>System Admin đăng nhập. Đại lý AG-2026-0004 chưa có referral.</t>
        </is>
      </c>
      <c r="I27" s="70" t="inlineStr">
        <is>
          <t>1. Vào Agency Detail của AG-2026-0004
2. Nhấn tab "Referral History"</t>
        </is>
      </c>
      <c r="J27" s="70" t="inlineStr">
        <is>
          <t>- Hiển thị empty state (không có data row)
- Có text thông báo "Chưa có dữ liệu" hoặc tương tự
- Không có lỗi JS hay crash</t>
        </is>
      </c>
      <c r="K27" s="70" t="inlineStr">
        <is>
          <t>ID: AG-2026-0004; Số referral: 0</t>
        </is>
      </c>
      <c r="L27" s="70" t="inlineStr">
        <is>
          <t>Medium</t>
        </is>
      </c>
      <c r="M27" s="65" t="n"/>
      <c r="N27" s="66" t="n"/>
      <c r="O27" s="81" t="n"/>
      <c r="P27" s="70" t="n"/>
      <c r="Q27" s="65" t="n"/>
      <c r="R27" s="66" t="n"/>
      <c r="S27" s="81" t="n"/>
      <c r="T27" s="70" t="n"/>
      <c r="U27" s="70" t="n"/>
      <c r="V27" s="70" t="n"/>
      <c r="W27" s="70" t="inlineStr">
        <is>
          <t>⚠️ Cần BA confirm: nội dung text và icon empty state</t>
        </is>
      </c>
      <c r="X27" s="68" t="n"/>
      <c r="Y27" s="68" t="n"/>
      <c r="Z27" s="68" t="n"/>
      <c r="AA27" s="68" t="n"/>
      <c r="AB27" s="68" t="n"/>
      <c r="AC27" s="68" t="n"/>
      <c r="AD27" s="68" t="n"/>
      <c r="AE27" s="68" t="n"/>
      <c r="AF27" s="68" t="n"/>
      <c r="AG27" s="68" t="n"/>
      <c r="AH27" s="68" t="n"/>
      <c r="AI27" s="68" t="n"/>
      <c r="AJ27" s="69" t="n"/>
    </row>
    <row r="28">
      <c r="A28" s="59">
        <f>row()-2</f>
        <v/>
      </c>
      <c r="B28" s="60" t="inlineStr">
        <is>
          <t>TC_AGCY_DTL_027</t>
        </is>
      </c>
      <c r="C28" s="70" t="inlineStr">
        <is>
          <t>Payment History (AW_AGCY_007)</t>
        </is>
      </c>
      <c r="D28" s="70" t="inlineStr">
        <is>
          <t>Functional</t>
        </is>
      </c>
      <c r="E28" s="70" t="inlineStr">
        <is>
          <t>Critical</t>
        </is>
      </c>
      <c r="F28" s="70" t="inlineStr">
        <is>
          <t>AC-10 / AW_AGCY_007</t>
        </is>
      </c>
      <c r="G28" s="75" t="inlineStr">
        <is>
          <t>Check tab Payment History hiển thị đúng danh sách hoa hồng theo tháng với đủ 4 cột</t>
        </is>
      </c>
      <c r="H28" s="70" t="inlineStr">
        <is>
          <t>System Admin đăng nhập. AG-2026-0001 có 2 bản ghi: Tháng 7/2026 (200.000, Đã chuyển, ngày 2026-08-05) và Tháng 8/2026 (300.000, Chưa chuyển, không có ngày).</t>
        </is>
      </c>
      <c r="I28" s="70" t="inlineStr">
        <is>
          <t>1. Vào Agency Detail của AG-2026-0001
2. Nhấn tab "Payment History"</t>
        </is>
      </c>
      <c r="J28" s="70" t="inlineStr">
        <is>
          <t>- Hiển thị 2 bản ghi
- Bản ghi 1: Tháng 7/2026 / 200.000 / Đã chuyển / 2026-08-05
- Bản ghi 2: Tháng 8/2026 / 300.000 / Chưa chuyển / (ngày chuyển trống hoặc —)
- Mỗi bản ghi có đủ 4 cột: Tháng thanh toán / Số tiền / Trạng thái / Ngày chuyển</t>
        </is>
      </c>
      <c r="K28" s="70" t="inlineStr">
        <is>
          <t>ID: AG-2026-0001; Bản ghi 1: 7/2026+200000+Đã chuyển+2026-08-05; Bản ghi 2: 8/2026+300000+Chưa chuyển+(trống)</t>
        </is>
      </c>
      <c r="L28" s="70" t="inlineStr">
        <is>
          <t>Critical</t>
        </is>
      </c>
      <c r="M28" s="65" t="n"/>
      <c r="N28" s="66" t="n"/>
      <c r="O28" s="81" t="n"/>
      <c r="P28" s="70" t="n"/>
      <c r="Q28" s="65" t="n"/>
      <c r="R28" s="66" t="n"/>
      <c r="S28" s="81" t="n"/>
      <c r="T28" s="70" t="n"/>
      <c r="U28" s="70" t="n"/>
      <c r="V28" s="70" t="n"/>
      <c r="W28" s="70" t="inlineStr">
        <is>
          <t>⚠️ Cần BA confirm: thứ tự sort mặc định (mới nhất lên trên hay cũ nhất?); format hiển thị Tháng thanh toán</t>
        </is>
      </c>
      <c r="X28" s="68" t="n"/>
      <c r="Y28" s="68" t="n"/>
      <c r="Z28" s="68" t="n"/>
      <c r="AA28" s="68" t="n"/>
      <c r="AB28" s="68" t="n"/>
      <c r="AC28" s="68" t="n"/>
      <c r="AD28" s="68" t="n"/>
      <c r="AE28" s="68" t="n"/>
      <c r="AF28" s="68" t="n"/>
      <c r="AG28" s="68" t="n"/>
      <c r="AH28" s="68" t="n"/>
      <c r="AI28" s="68" t="n"/>
      <c r="AJ28" s="69" t="n"/>
    </row>
    <row r="29">
      <c r="A29" s="59">
        <f>row()-2</f>
        <v/>
      </c>
      <c r="B29" s="60" t="inlineStr">
        <is>
          <t>TC_AGCY_DTL_028</t>
        </is>
      </c>
      <c r="C29" s="70" t="inlineStr">
        <is>
          <t>Payment History — Bản ghi "Đã chuyển"</t>
        </is>
      </c>
      <c r="D29" s="70" t="inlineStr">
        <is>
          <t>Functional</t>
        </is>
      </c>
      <c r="E29" s="70" t="inlineStr">
        <is>
          <t>High</t>
        </is>
      </c>
      <c r="F29" s="70" t="inlineStr">
        <is>
          <t>AC-10 / AW_AGCY_007</t>
        </is>
      </c>
      <c r="G29" s="75" t="inlineStr">
        <is>
          <t>Check bản ghi thanh toán trạng thái "Đã chuyển" hiển thị ngày chuyển hợp lệ</t>
        </is>
      </c>
      <c r="H29" s="70" t="inlineStr">
        <is>
          <t>System Admin đăng nhập. AG-2026-0001 có bản ghi Tháng 7/2026 trạng thái Đã chuyển, ngày chuyển 2026-08-05.</t>
        </is>
      </c>
      <c r="I29" s="75" t="inlineStr">
        <is>
          <t>1. Vào tab "Payment History" của AG-2026-0001
2. Xác định bản ghi Tháng 7/2026</t>
        </is>
      </c>
      <c r="J29" s="70" t="inlineStr">
        <is>
          <t>- Tháng thanh toán: 7/2026
- Số tiền: 200.000
- Trạng thái: Đã chuyển
- Ngày chuyển: 2026-08-05 (giá trị ngày cụ thể, không trống)</t>
        </is>
      </c>
      <c r="K29" s="70" t="inlineStr">
        <is>
          <t>Bản ghi: Tháng 7/2026; 200.000; Đã chuyển; ngày 2026-08-05</t>
        </is>
      </c>
      <c r="L29" s="70" t="inlineStr">
        <is>
          <t>High</t>
        </is>
      </c>
      <c r="M29" s="65" t="n"/>
      <c r="N29" s="66" t="n"/>
      <c r="O29" s="81" t="n"/>
      <c r="P29" s="70" t="n"/>
      <c r="Q29" s="65" t="n"/>
      <c r="R29" s="66" t="n"/>
      <c r="S29" s="81" t="n"/>
      <c r="T29" s="70" t="n"/>
      <c r="U29" s="70" t="n"/>
      <c r="V29" s="70" t="n"/>
      <c r="W29" s="70" t="inlineStr">
        <is>
          <t>-</t>
        </is>
      </c>
      <c r="X29" s="68" t="n"/>
      <c r="Y29" s="68" t="n"/>
      <c r="Z29" s="68" t="n"/>
      <c r="AA29" s="68" t="n"/>
      <c r="AB29" s="68" t="n"/>
      <c r="AC29" s="68" t="n"/>
      <c r="AD29" s="68" t="n"/>
      <c r="AE29" s="68" t="n"/>
      <c r="AF29" s="68" t="n"/>
      <c r="AG29" s="68" t="n"/>
      <c r="AH29" s="68" t="n"/>
      <c r="AI29" s="68" t="n"/>
      <c r="AJ29" s="69" t="n"/>
    </row>
    <row r="30">
      <c r="A30" s="59">
        <f>row()-2</f>
        <v/>
      </c>
      <c r="B30" s="60" t="inlineStr">
        <is>
          <t>TC_AGCY_DTL_029</t>
        </is>
      </c>
      <c r="C30" s="70" t="inlineStr">
        <is>
          <t>Payment History — Bản ghi "Chưa chuyển"</t>
        </is>
      </c>
      <c r="D30" s="70" t="inlineStr">
        <is>
          <t>Functional</t>
        </is>
      </c>
      <c r="E30" s="70" t="inlineStr">
        <is>
          <t>High</t>
        </is>
      </c>
      <c r="F30" s="70" t="inlineStr">
        <is>
          <t>AC-10 / AW_AGCY_007</t>
        </is>
      </c>
      <c r="G30" s="75" t="inlineStr">
        <is>
          <t>Check bản ghi "Chưa chuyển" không hiển thị ngày chuyển</t>
        </is>
      </c>
      <c r="H30" s="70" t="inlineStr">
        <is>
          <t>System Admin đăng nhập. AG-2026-0001 có bản ghi Tháng 8/2026 trạng thái Chưa chuyển.</t>
        </is>
      </c>
      <c r="I30" s="75" t="inlineStr">
        <is>
          <t>1. Vào tab "Payment History" của AG-2026-0001
2. Xác định bản ghi Tháng 8/2026</t>
        </is>
      </c>
      <c r="J30" s="75" t="inlineStr">
        <is>
          <t>- Trạng thái: Chưa chuyển
- Cột Ngày chuyển: trống hoặc hiển thị "—" (không hiển thị ngày giả)
- Số tiền hiển thị đúng: 300.000</t>
        </is>
      </c>
      <c r="K30" s="75" t="inlineStr">
        <is>
          <t>Bản ghi: Tháng 8/2026; 300.000; Chưa chuyển</t>
        </is>
      </c>
      <c r="L30" s="75" t="inlineStr">
        <is>
          <t>High</t>
        </is>
      </c>
      <c r="M30" s="65" t="n"/>
      <c r="N30" s="66" t="n"/>
      <c r="O30" s="81" t="n"/>
      <c r="P30" s="70" t="n"/>
      <c r="Q30" s="65" t="n"/>
      <c r="R30" s="66" t="n"/>
      <c r="S30" s="81" t="n"/>
      <c r="T30" s="70" t="n"/>
      <c r="U30" s="70" t="n"/>
      <c r="V30" s="70" t="n"/>
      <c r="W30" s="70" t="inlineStr">
        <is>
          <t>-</t>
        </is>
      </c>
      <c r="X30" s="68" t="n"/>
      <c r="Y30" s="68" t="n"/>
      <c r="Z30" s="68" t="n"/>
      <c r="AA30" s="68" t="n"/>
      <c r="AB30" s="68" t="n"/>
      <c r="AC30" s="68" t="n"/>
      <c r="AD30" s="68" t="n"/>
      <c r="AE30" s="68" t="n"/>
      <c r="AF30" s="68" t="n"/>
      <c r="AG30" s="68" t="n"/>
      <c r="AH30" s="68" t="n"/>
      <c r="AI30" s="68" t="n"/>
      <c r="AJ30" s="69" t="n"/>
    </row>
    <row r="31">
      <c r="A31" s="59">
        <f>row()-2</f>
        <v/>
      </c>
      <c r="B31" s="60" t="inlineStr">
        <is>
          <t>TC_AGCY_DTL_030</t>
        </is>
      </c>
      <c r="C31" s="74" t="inlineStr">
        <is>
          <t>Payment History — Nhất quán với Performance Summary (chưa trả)</t>
        </is>
      </c>
      <c r="D31" s="70" t="inlineStr">
        <is>
          <t>Functional</t>
        </is>
      </c>
      <c r="E31" s="70" t="inlineStr">
        <is>
          <t>Critical</t>
        </is>
      </c>
      <c r="F31" s="70" t="inlineStr">
        <is>
          <t>AC-10 / AW_AGCY_007</t>
        </is>
      </c>
      <c r="G31" s="70" t="inlineStr">
        <is>
          <t>Check tổng tiền bản ghi "Chưa chuyển" trong Payment History khớp với "Số tiền chưa trả" trong Performance Summary</t>
        </is>
      </c>
      <c r="H31" s="70" t="inlineStr">
        <is>
          <t>System Admin đăng nhập. AG-2026-0001 có 1 bản ghi Chưa chuyển = 300.000.</t>
        </is>
      </c>
      <c r="I31" s="70" t="inlineStr">
        <is>
          <t>1. Vào tab "Payment History" → tính tổng tiền các bản ghi "Chưa chuyển" = 300.000
2. Nhấn sang tab "Performance Summary" → đọc "Số tiền chưa trả"</t>
        </is>
      </c>
      <c r="J31" s="70" t="inlineStr">
        <is>
          <t>- "Số tiền chưa trả" trong Performance Summary = 300.000 = tổng từ Payment History</t>
        </is>
      </c>
      <c r="K31" s="70" t="inlineStr">
        <is>
          <t>ID: AG-2026-0001; Chưa chuyển: 300.000</t>
        </is>
      </c>
      <c r="L31" s="70" t="inlineStr">
        <is>
          <t>Critical</t>
        </is>
      </c>
      <c r="M31" s="65" t="n"/>
      <c r="N31" s="66" t="n"/>
      <c r="O31" s="81" t="n"/>
      <c r="P31" s="70" t="n"/>
      <c r="Q31" s="65" t="n"/>
      <c r="R31" s="66" t="n"/>
      <c r="S31" s="81" t="n"/>
      <c r="T31" s="70" t="n"/>
      <c r="U31" s="70" t="n"/>
      <c r="V31" s="70" t="n"/>
      <c r="W31" s="70" t="inlineStr">
        <is>
          <t>-</t>
        </is>
      </c>
      <c r="X31" s="68" t="n"/>
      <c r="Y31" s="68" t="n"/>
      <c r="Z31" s="68" t="n"/>
      <c r="AA31" s="68" t="n"/>
      <c r="AB31" s="68" t="n"/>
      <c r="AC31" s="68" t="n"/>
      <c r="AD31" s="68" t="n"/>
      <c r="AE31" s="68" t="n"/>
      <c r="AF31" s="68" t="n"/>
      <c r="AG31" s="68" t="n"/>
      <c r="AH31" s="68" t="n"/>
      <c r="AI31" s="68" t="n"/>
      <c r="AJ31" s="69" t="n"/>
    </row>
    <row r="32">
      <c r="A32" s="59">
        <f>row()-2</f>
        <v/>
      </c>
      <c r="B32" s="60" t="inlineStr">
        <is>
          <t>TC_AGCY_DTL_031</t>
        </is>
      </c>
      <c r="C32" s="74" t="inlineStr">
        <is>
          <t>Payment History — Empty state</t>
        </is>
      </c>
      <c r="D32" s="70" t="inlineStr">
        <is>
          <t>UI</t>
        </is>
      </c>
      <c r="E32" s="70" t="inlineStr">
        <is>
          <t>Medium</t>
        </is>
      </c>
      <c r="F32" s="70" t="inlineStr">
        <is>
          <t>AC-10 / AW_AGCY_007</t>
        </is>
      </c>
      <c r="G32" s="70" t="inlineStr">
        <is>
          <t>Check empty state khi đại lý chưa có bản ghi thanh toán</t>
        </is>
      </c>
      <c r="H32" s="70" t="inlineStr">
        <is>
          <t>System Admin đăng nhập. Đại lý AG-2026-0004 chưa có payment record.</t>
        </is>
      </c>
      <c r="I32" s="70" t="inlineStr">
        <is>
          <t>1. Vào Agency Detail của AG-2026-0004
2. Nhấn tab "Payment History"</t>
        </is>
      </c>
      <c r="J32" s="70" t="inlineStr">
        <is>
          <t>- Hiển thị empty state
- Không có data row
- Không có lỗi hay crash</t>
        </is>
      </c>
      <c r="K32" s="70" t="inlineStr">
        <is>
          <t>ID: AG-2026-0004; Số payment records: 0</t>
        </is>
      </c>
      <c r="L32" s="70" t="inlineStr">
        <is>
          <t>Medium</t>
        </is>
      </c>
      <c r="M32" s="65" t="n"/>
      <c r="N32" s="66" t="n"/>
      <c r="O32" s="81" t="n"/>
      <c r="P32" s="70" t="n"/>
      <c r="Q32" s="65" t="n"/>
      <c r="R32" s="66" t="n"/>
      <c r="S32" s="81" t="n"/>
      <c r="T32" s="70" t="n"/>
      <c r="U32" s="70" t="n"/>
      <c r="V32" s="70" t="n"/>
      <c r="W32" s="70" t="inlineStr">
        <is>
          <t>⚠️ Cần BA confirm: nội dung text empty state</t>
        </is>
      </c>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TC_AGCY_REF_001</t>
        </is>
      </c>
      <c r="C2" s="63" t="inlineStr">
        <is>
          <t>AW_AGCY_008 — Danh sách Referral</t>
        </is>
      </c>
      <c r="D2" s="71" t="inlineStr">
        <is>
          <t>Functional</t>
        </is>
      </c>
      <c r="E2" s="71" t="inlineStr">
        <is>
          <t>High</t>
        </is>
      </c>
      <c r="F2" s="71" t="inlineStr">
        <is>
          <t>AC-03 / AW_AGCY_008</t>
        </is>
      </c>
      <c r="G2" s="63" t="inlineStr">
        <is>
          <t>Check danh sách cơ hội giới thiệu hiển thị đầy đủ thông tin pháp nhân và trạng thái tiến độ</t>
        </is>
      </c>
      <c r="H2" s="71" t="inlineStr">
        <is>
          <t>System Admin đã đăng nhập với JWT hợp lệ. Đại lý AGC-001 "Công ty TNHH Mori Partners" có 3 referral: REF-001 "Công ty CP Tokyo Foods" (Đang đàm phán), REF-002 "Công ty CP Osaka Bento" (Ký), REF-003 "Công ty TNHH Kyoto Meals" (Hủy).</t>
        </is>
      </c>
      <c r="I2" s="71" t="inlineStr">
        <is>
          <t>1. Truy cập màn hình Quản lý Giới thiệu của đại lý AGC-001
2. Quan sát danh sách hiển thị</t>
        </is>
      </c>
      <c r="J2" s="70" t="inlineStr">
        <is>
          <t>- Danh sách hiển thị đúng 3 bản ghi
- REF-001 "Công ty CP Tokyo Foods" — trạng thái "Đang đàm phán"
- REF-002 "Công ty CP Osaka Bento" — trạng thái "Ký"
- REF-003 "Công ty TNHH Kyoto Meals" — trạng thái "Hủy"
- Không có lỗi hiển thị</t>
        </is>
      </c>
      <c r="K2" s="70" t="inlineStr">
        <is>
          <t>Agency: AGC-001. REF-001 (Đang đàm phán), REF-002 (Ký), REF-003 (Hủy)</t>
        </is>
      </c>
      <c r="L2" s="70" t="inlineStr">
        <is>
          <t>Critical</t>
        </is>
      </c>
      <c r="M2" s="65" t="n"/>
      <c r="N2" s="66" t="n"/>
      <c r="O2" s="81" t="n"/>
      <c r="P2" s="81" t="n"/>
      <c r="Q2" s="65" t="n"/>
      <c r="R2" s="66" t="n"/>
      <c r="S2" s="81" t="n"/>
      <c r="T2" s="81" t="n"/>
      <c r="U2" s="63" t="n"/>
      <c r="V2" s="63" t="n"/>
      <c r="W2" s="81" t="inlineStr">
        <is>
          <t>—</t>
        </is>
      </c>
      <c r="X2" s="68" t="n"/>
      <c r="Y2" s="68" t="n"/>
      <c r="Z2" s="68" t="n"/>
      <c r="AA2" s="68" t="n"/>
      <c r="AB2" s="68" t="n"/>
      <c r="AC2" s="68" t="n"/>
      <c r="AD2" s="68" t="n"/>
      <c r="AE2" s="68" t="n"/>
      <c r="AF2" s="68" t="n"/>
      <c r="AG2" s="68" t="n"/>
      <c r="AH2" s="68" t="n"/>
      <c r="AI2" s="68" t="n"/>
      <c r="AJ2" s="69" t="n"/>
    </row>
    <row r="3">
      <c r="A3" s="59">
        <f>row()-2</f>
        <v/>
      </c>
      <c r="B3" s="60" t="inlineStr">
        <is>
          <t>TC_AGCY_REF_002</t>
        </is>
      </c>
      <c r="C3" s="63" t="inlineStr">
        <is>
          <t>AW_AGCY_008 — Empty State</t>
        </is>
      </c>
      <c r="D3" s="63" t="inlineStr">
        <is>
          <t>Functional</t>
        </is>
      </c>
      <c r="E3" s="63" t="inlineStr">
        <is>
          <t>Medium</t>
        </is>
      </c>
      <c r="F3" s="63" t="inlineStr">
        <is>
          <t>AC-03 / AW_AGCY_008</t>
        </is>
      </c>
      <c r="G3" s="63" t="inlineStr">
        <is>
          <t>Check màn hình hiển thị empty state khi đại lý chưa có cơ hội giới thiệu nào</t>
        </is>
      </c>
      <c r="H3" s="71" t="inlineStr">
        <is>
          <t>System Admin đã đăng nhập. Đại lý AGC-002 "Công ty TNHH Tanaka Agency" chưa có referral nào trong hệ thống.</t>
        </is>
      </c>
      <c r="I3" s="71" t="inlineStr">
        <is>
          <t>1. Truy cập màn hình Quản lý Giới thiệu của AGC-002
2. Quan sát kết quả hiển thị</t>
        </is>
      </c>
      <c r="J3" s="70" t="inlineStr">
        <is>
          <t>- Màn hình không hiển thị bảng danh sách rỗng
- Có empty state message hoặc icon phù hợp
- Không bị lỗi hoặc crash</t>
        </is>
      </c>
      <c r="K3" s="70" t="inlineStr">
        <is>
          <t>Agency: AGC-002 (0 referral)</t>
        </is>
      </c>
      <c r="L3" s="70" t="inlineStr">
        <is>
          <t>Medium</t>
        </is>
      </c>
      <c r="M3" s="65" t="n"/>
      <c r="N3" s="66" t="n"/>
      <c r="O3" s="81" t="n"/>
      <c r="P3" s="70" t="n"/>
      <c r="Q3" s="65" t="n"/>
      <c r="R3" s="66" t="n"/>
      <c r="S3" s="81" t="n"/>
      <c r="T3" s="70" t="n"/>
      <c r="U3" s="70" t="n"/>
      <c r="V3" s="70" t="n"/>
      <c r="W3" s="70" t="inlineStr">
        <is>
          <t>⚠️ Cần BA/Designer confirm: nội dung text và icon empty state</t>
        </is>
      </c>
      <c r="X3" s="68" t="n"/>
      <c r="Y3" s="68" t="n"/>
      <c r="Z3" s="68" t="n"/>
      <c r="AA3" s="68" t="n"/>
      <c r="AB3" s="68" t="n"/>
      <c r="AC3" s="68" t="n"/>
      <c r="AD3" s="68" t="n"/>
      <c r="AE3" s="68" t="n"/>
      <c r="AF3" s="68" t="n"/>
      <c r="AG3" s="68" t="n"/>
      <c r="AH3" s="68" t="n"/>
      <c r="AI3" s="68" t="n"/>
      <c r="AJ3" s="69" t="n"/>
    </row>
    <row r="4">
      <c r="A4" s="59">
        <f>row()-2</f>
        <v/>
      </c>
      <c r="B4" s="60" t="inlineStr">
        <is>
          <t>TC_AGCY_REF_003</t>
        </is>
      </c>
      <c r="C4" s="71" t="inlineStr">
        <is>
          <t>AW_AGCY_008 — Điều hướng vào Chi tiết</t>
        </is>
      </c>
      <c r="D4" s="63" t="inlineStr">
        <is>
          <t>Functional</t>
        </is>
      </c>
      <c r="E4" s="63" t="inlineStr">
        <is>
          <t>High</t>
        </is>
      </c>
      <c r="F4" s="63" t="inlineStr">
        <is>
          <t>AC-03 / AW_AGCY_008</t>
        </is>
      </c>
      <c r="G4" s="63" t="inlineStr">
        <is>
          <t>Check điều hướng sang màn hình chi tiết khi System Admin nhấn chọn một cơ hội trong danh sách</t>
        </is>
      </c>
      <c r="H4" s="63" t="inlineStr">
        <is>
          <t>System Admin đã đăng nhập. AGC-001 có REF-001 "Công ty CP Tokyo Foods" trạng thái "Đang đàm phán".</t>
        </is>
      </c>
      <c r="I4" s="71" t="inlineStr">
        <is>
          <t>1. Truy cập màn hình Danh sách Cơ hội Giới thiệu của AGC-001
2. Nhấn vào dòng REF-001 "Công ty CP Tokyo Foods"</t>
        </is>
      </c>
      <c r="J4" s="70" t="inlineStr">
        <is>
          <t>- Hệ thống điều hướng đến AW_AGCY_009
- Màn hình chi tiết hiển thị đúng thông tin REF-001
- Route hoặc URL thay đổi đúng</t>
        </is>
      </c>
      <c r="K4" s="70" t="inlineStr">
        <is>
          <t>REF-001: "Công ty CP Tokyo Foods"</t>
        </is>
      </c>
      <c r="L4" s="70" t="inlineStr">
        <is>
          <t>High</t>
        </is>
      </c>
      <c r="M4" s="65" t="n"/>
      <c r="N4" s="66" t="n"/>
      <c r="O4" s="81" t="n"/>
      <c r="P4" s="70" t="n"/>
      <c r="Q4" s="65" t="n"/>
      <c r="R4" s="66" t="n"/>
      <c r="S4" s="81" t="n"/>
      <c r="T4" s="70" t="n"/>
      <c r="U4" s="70" t="n"/>
      <c r="V4" s="70" t="n"/>
      <c r="W4" s="70" t="inlineStr">
        <is>
          <t>—</t>
        </is>
      </c>
      <c r="X4" s="68" t="n"/>
      <c r="Y4" s="68" t="n"/>
      <c r="Z4" s="68" t="n"/>
      <c r="AA4" s="68" t="n"/>
      <c r="AB4" s="68" t="n"/>
      <c r="AC4" s="68" t="n"/>
      <c r="AD4" s="68" t="n"/>
      <c r="AE4" s="68" t="n"/>
      <c r="AF4" s="68" t="n"/>
      <c r="AG4" s="68" t="n"/>
      <c r="AH4" s="68" t="n"/>
      <c r="AI4" s="68" t="n"/>
      <c r="AJ4" s="69" t="n"/>
    </row>
    <row r="5">
      <c r="A5" s="59">
        <f>row()-2</f>
        <v/>
      </c>
      <c r="B5" s="60" t="inlineStr">
        <is>
          <t>TC_AGCY_REF_004</t>
        </is>
      </c>
      <c r="C5" s="71" t="inlineStr">
        <is>
          <t>AW_AGCY_008 — Permission</t>
        </is>
      </c>
      <c r="D5" s="63" t="inlineStr">
        <is>
          <t>Permission</t>
        </is>
      </c>
      <c r="E5" s="63" t="inlineStr">
        <is>
          <t>High</t>
        </is>
      </c>
      <c r="F5" s="63" t="inlineStr">
        <is>
          <t>AC-03 / AW_AGCY_008</t>
        </is>
      </c>
      <c r="G5" s="63" t="inlineStr">
        <is>
          <t>Check chỉ E03 System Admin mới có thể truy cập màn hình Danh sách Cơ hội Giới thiệu</t>
        </is>
      </c>
      <c r="H5" s="71" t="inlineStr">
        <is>
          <t>Đã đăng nhập bằng tài khoản không có role E03 System Admin (Company Admin E02).</t>
        </is>
      </c>
      <c r="I5" s="71" t="inlineStr">
        <is>
          <t>1. Đăng nhập bằng tài khoản company_admin_01@es-kitchen-test.com (role E02)
2. Truy cập trực tiếp URL màn hình Danh sách Cơ hội Giới thiệu</t>
        </is>
      </c>
      <c r="J5" s="70" t="inlineStr">
        <is>
          <t>- Hệ thống từ chối truy cập
- Hiển thị 403 Forbidden hoặc redirect về màn hình không có quyền
- Không hiển thị dữ liệu referral</t>
        </is>
      </c>
      <c r="K5" s="70" t="inlineStr">
        <is>
          <t>User: company_admin_01@es-kitchen-test.com (role E02, không có quyền E03)</t>
        </is>
      </c>
      <c r="L5" s="70" t="inlineStr">
        <is>
          <t>High</t>
        </is>
      </c>
      <c r="M5" s="65" t="n"/>
      <c r="N5" s="66" t="n"/>
      <c r="O5" s="81" t="n"/>
      <c r="P5" s="70" t="n"/>
      <c r="Q5" s="65" t="n"/>
      <c r="R5" s="66" t="n"/>
      <c r="S5" s="81" t="n"/>
      <c r="T5" s="70" t="n"/>
      <c r="U5" s="70" t="n"/>
      <c r="V5" s="70" t="n"/>
      <c r="W5" s="70" t="inlineStr">
        <is>
          <t>⚠️ Cần BA confirm: redirect về đâu khi không đủ quyền</t>
        </is>
      </c>
      <c r="X5" s="68" t="n"/>
      <c r="Y5" s="68" t="n"/>
      <c r="Z5" s="68" t="n"/>
      <c r="AA5" s="68" t="n"/>
      <c r="AB5" s="68" t="n"/>
      <c r="AC5" s="68" t="n"/>
      <c r="AD5" s="68" t="n"/>
      <c r="AE5" s="68" t="n"/>
      <c r="AF5" s="68" t="n"/>
      <c r="AG5" s="68" t="n"/>
      <c r="AH5" s="68" t="n"/>
      <c r="AI5" s="68" t="n"/>
      <c r="AJ5" s="69" t="n"/>
    </row>
    <row r="6">
      <c r="A6" s="59">
        <f>row()-2</f>
        <v/>
      </c>
      <c r="B6" s="60" t="inlineStr">
        <is>
          <t>TC_AGCY_REF_005</t>
        </is>
      </c>
      <c r="C6" s="71" t="inlineStr">
        <is>
          <t>AW_AGCY_009 — Hiển thị Chi tiết</t>
        </is>
      </c>
      <c r="D6" s="63" t="inlineStr">
        <is>
          <t>Functional</t>
        </is>
      </c>
      <c r="E6" s="63" t="inlineStr">
        <is>
          <t>High</t>
        </is>
      </c>
      <c r="F6" s="63" t="inlineStr">
        <is>
          <t>AC-04 / AW_AGCY_009</t>
        </is>
      </c>
      <c r="G6" s="63" t="inlineStr">
        <is>
          <t>Check màn hình chi tiết hiển thị đầy đủ thông tin pháp nhân, trạng thái tiến độ và lịch sử cập nhật</t>
        </is>
      </c>
      <c r="H6" s="71" t="inlineStr">
        <is>
          <t>System Admin đã đăng nhập. REF-001 "Công ty CP Tokyo Foods", trạng thái "Đang đàm phán", đã có 2 bản ghi lịch sử cập nhật.</t>
        </is>
      </c>
      <c r="I6" s="71" t="inlineStr">
        <is>
          <t>1. Từ danh sách AGC-001, chọn REF-001
2. Quan sát toàn bộ màn hình AW_AGCY_009</t>
        </is>
      </c>
      <c r="J6" s="70" t="inlineStr">
        <is>
          <t>- Tên pháp nhân được giới thiệu hiển thị: "Công ty CP Tokyo Foods"
- Trạng thái tiến độ hiển thị: "Đang đàm phán"
- Section lịch sử cập nhật hiển thị đúng 2 bản ghi theo thứ tự thời gian</t>
        </is>
      </c>
      <c r="K6" s="70" t="inlineStr">
        <is>
          <t>REF-001, 2 bản ghi lịch sử</t>
        </is>
      </c>
      <c r="L6" s="70" t="inlineStr">
        <is>
          <t>High</t>
        </is>
      </c>
      <c r="M6" s="65" t="n"/>
      <c r="N6" s="66" t="n"/>
      <c r="O6" s="81" t="n"/>
      <c r="P6" s="70" t="n"/>
      <c r="Q6" s="65" t="n"/>
      <c r="R6" s="66" t="n"/>
      <c r="S6" s="81" t="n"/>
      <c r="T6" s="70" t="n"/>
      <c r="U6" s="70" t="n"/>
      <c r="V6" s="70" t="n"/>
      <c r="W6" s="70" t="inlineStr">
        <is>
          <t>⚠️ Cần BA confirm: các field chi tiết nào được hiển thị trên AW_AGCY_009 (SPEC ghi "thông tin pháp nhân" nhưng không liệt kê field cụ thể)</t>
        </is>
      </c>
      <c r="X6" s="68" t="n"/>
      <c r="Y6" s="68" t="n"/>
      <c r="Z6" s="68" t="n"/>
      <c r="AA6" s="68" t="n"/>
      <c r="AB6" s="68" t="n"/>
      <c r="AC6" s="68" t="n"/>
      <c r="AD6" s="68" t="n"/>
      <c r="AE6" s="68" t="n"/>
      <c r="AF6" s="68" t="n"/>
      <c r="AG6" s="68" t="n"/>
      <c r="AH6" s="68" t="n"/>
      <c r="AI6" s="68" t="n"/>
      <c r="AJ6" s="69" t="n"/>
    </row>
    <row r="7">
      <c r="A7" s="59">
        <f>row()-2</f>
        <v/>
      </c>
      <c r="B7" s="60" t="inlineStr">
        <is>
          <t>TC_AGCY_REF_006</t>
        </is>
      </c>
      <c r="C7" s="71" t="inlineStr">
        <is>
          <t>AW_AGCY_009 — Cập nhật trạng thái: Đang đàm phán sang Ký</t>
        </is>
      </c>
      <c r="D7" s="63" t="inlineStr">
        <is>
          <t>Functional</t>
        </is>
      </c>
      <c r="E7" s="63" t="inlineStr">
        <is>
          <t>High</t>
        </is>
      </c>
      <c r="F7" s="63" t="inlineStr">
        <is>
          <t>AC-04 / AW_AGCY_009</t>
        </is>
      </c>
      <c r="G7" s="63" t="inlineStr">
        <is>
          <t>Check cập nhật trạng thái tiến độ từ "Đang đàm phán" sang "Ký" lưu thành công và phản ánh ngay lập tức</t>
        </is>
      </c>
      <c r="H7" s="63" t="inlineStr">
        <is>
          <t>System Admin đã đăng nhập. REF-001 đang ở trạng thái "Đang đàm phán".</t>
        </is>
      </c>
      <c r="I7" s="71" t="inlineStr">
        <is>
          <t>1. Vào màn hình Chi tiết REF-001 (AW_AGCY_009)
2. Thay đổi trạng thái tiến độ sang "Ký"
3. Nhấn [Lưu]</t>
        </is>
      </c>
      <c r="J7" s="70" t="inlineStr">
        <is>
          <t>- Hệ thống lưu thành công
- Trạng thái hiển thị ngay lập tức cập nhật thành "Ký" (không cần refresh trang)
- Lịch sử cập nhật ghi thêm 1 bản ghi mới với timestamp
- Có thông báo lưu thành công</t>
        </is>
      </c>
      <c r="K7" s="70" t="inlineStr">
        <is>
          <t>REF-001, trạng thái trước: Đang đàm phán</t>
        </is>
      </c>
      <c r="L7" s="70" t="inlineStr">
        <is>
          <t>Critical</t>
        </is>
      </c>
      <c r="M7" s="65" t="n"/>
      <c r="N7" s="66" t="n"/>
      <c r="O7" s="81" t="n"/>
      <c r="P7" s="70" t="n"/>
      <c r="Q7" s="65" t="n"/>
      <c r="R7" s="66" t="n"/>
      <c r="S7" s="81" t="n"/>
      <c r="T7" s="70" t="n"/>
      <c r="U7" s="70" t="n"/>
      <c r="V7" s="70" t="n"/>
      <c r="W7" s="70" t="inlineStr">
        <is>
          <t>—</t>
        </is>
      </c>
      <c r="X7" s="68" t="n"/>
      <c r="Y7" s="68" t="n"/>
      <c r="Z7" s="68" t="n"/>
      <c r="AA7" s="68" t="n"/>
      <c r="AB7" s="68" t="n"/>
      <c r="AC7" s="68" t="n"/>
      <c r="AD7" s="68" t="n"/>
      <c r="AE7" s="68" t="n"/>
      <c r="AF7" s="68" t="n"/>
      <c r="AG7" s="68" t="n"/>
      <c r="AH7" s="68" t="n"/>
      <c r="AI7" s="68" t="n"/>
      <c r="AJ7" s="69" t="n"/>
    </row>
    <row r="8">
      <c r="A8" s="59">
        <f>row()-2</f>
        <v/>
      </c>
      <c r="B8" s="60" t="inlineStr">
        <is>
          <t>TC_AGCY_REF_007</t>
        </is>
      </c>
      <c r="C8" s="71" t="inlineStr">
        <is>
          <t>AW_AGCY_009 — Cập nhật trạng thái: Đang đàm phán sang Hủy</t>
        </is>
      </c>
      <c r="D8" s="63" t="inlineStr">
        <is>
          <t>Functional</t>
        </is>
      </c>
      <c r="E8" s="63" t="inlineStr">
        <is>
          <t>High</t>
        </is>
      </c>
      <c r="F8" s="63" t="inlineStr">
        <is>
          <t>AC-04 / AW_AGCY_009</t>
        </is>
      </c>
      <c r="G8" s="63" t="inlineStr">
        <is>
          <t>Check cập nhật trạng thái tiến độ từ "Đang đàm phán" sang "Hủy" lưu thành công</t>
        </is>
      </c>
      <c r="H8" s="71" t="inlineStr">
        <is>
          <t>System Admin đã đăng nhập. REF-002 "Công ty CP Sapporo Tech" đang ở trạng thái "Đang đàm phán".</t>
        </is>
      </c>
      <c r="I8" s="71" t="inlineStr">
        <is>
          <t>1. Vào màn hình Chi tiết REF-002
2. Thay đổi trạng thái tiến độ sang "Hủy"
3. Nhấn [Lưu]</t>
        </is>
      </c>
      <c r="J8" s="70" t="inlineStr">
        <is>
          <t>- Hệ thống lưu thành công
- Trạng thái cập nhật ngay thành "Hủy"
- Lịch sử cập nhật ghi nhận thay đổi</t>
        </is>
      </c>
      <c r="K8" s="70" t="inlineStr">
        <is>
          <t>REF-002: "Công ty CP Sapporo Tech", trạng thái trước: Đang đàm phán</t>
        </is>
      </c>
      <c r="L8" s="70" t="inlineStr">
        <is>
          <t>High</t>
        </is>
      </c>
      <c r="M8" s="65" t="n"/>
      <c r="N8" s="66" t="n"/>
      <c r="O8" s="81" t="n"/>
      <c r="P8" s="70" t="n"/>
      <c r="Q8" s="65" t="n"/>
      <c r="R8" s="66" t="n"/>
      <c r="S8" s="81" t="n"/>
      <c r="T8" s="70" t="n"/>
      <c r="U8" s="70" t="n"/>
      <c r="V8" s="70" t="n"/>
      <c r="W8" s="70" t="inlineStr">
        <is>
          <t>—</t>
        </is>
      </c>
      <c r="X8" s="68" t="n"/>
      <c r="Y8" s="68" t="n"/>
      <c r="Z8" s="68" t="n"/>
      <c r="AA8" s="68" t="n"/>
      <c r="AB8" s="68" t="n"/>
      <c r="AC8" s="68" t="n"/>
      <c r="AD8" s="68" t="n"/>
      <c r="AE8" s="68" t="n"/>
      <c r="AF8" s="68" t="n"/>
      <c r="AG8" s="68" t="n"/>
      <c r="AH8" s="68" t="n"/>
      <c r="AI8" s="68" t="n"/>
      <c r="AJ8" s="69" t="n"/>
    </row>
    <row r="9">
      <c r="A9" s="59">
        <f>row()-2</f>
        <v/>
      </c>
      <c r="B9" s="60" t="inlineStr">
        <is>
          <t>TC_AGCY_REF_008</t>
        </is>
      </c>
      <c r="C9" s="71" t="inlineStr">
        <is>
          <t>AW_AGCY_009 — Cập nhật trạng thái: Ký sang Hủy</t>
        </is>
      </c>
      <c r="D9" s="63" t="inlineStr">
        <is>
          <t>Functional</t>
        </is>
      </c>
      <c r="E9" s="63" t="inlineStr">
        <is>
          <t>Medium</t>
        </is>
      </c>
      <c r="F9" s="63" t="inlineStr">
        <is>
          <t>AC-04 / AW_AGCY_009</t>
        </is>
      </c>
      <c r="G9" s="63" t="inlineStr">
        <is>
          <t>Check cập nhật trạng thái tiến độ từ "Ký" sang "Hủy" (kiểm tra transition này có hợp lệ không)</t>
        </is>
      </c>
      <c r="H9" s="71" t="inlineStr">
        <is>
          <t>System Admin đã đăng nhập. REF-003 "Công ty TNHH Fukuoka Foods" đang ở trạng thái "Ký".</t>
        </is>
      </c>
      <c r="I9" s="63" t="inlineStr">
        <is>
          <t>1. Vào màn hình Chi tiết REF-003
2. Thử thay đổi trạng thái sang "Hủy"
3. Nhấn [Lưu]</t>
        </is>
      </c>
      <c r="J9" s="70" t="inlineStr">
        <is>
          <t>- Nếu hợp lệ: lưu thành công, trạng thái cập nhật thành "Hủy", lịch sử ghi nhận
- Nếu không hợp lệ: hệ thống hiển thị thông báo lỗi rõ ràng, không lưu</t>
        </is>
      </c>
      <c r="K9" s="70" t="inlineStr">
        <is>
          <t>REF-003: "Công ty TNHH Fukuoka Foods", trạng thái trước: Ký</t>
        </is>
      </c>
      <c r="L9" s="70" t="inlineStr">
        <is>
          <t>Medium</t>
        </is>
      </c>
      <c r="M9" s="65" t="n"/>
      <c r="N9" s="66" t="n"/>
      <c r="O9" s="81" t="n"/>
      <c r="P9" s="70" t="n"/>
      <c r="Q9" s="65" t="n"/>
      <c r="R9" s="66" t="n"/>
      <c r="S9" s="81" t="n"/>
      <c r="T9" s="70" t="n"/>
      <c r="U9" s="70" t="n"/>
      <c r="V9" s="70" t="n"/>
      <c r="W9" s="70" t="inlineStr">
        <is>
          <t>⚠️ Cần BA confirm: transition Ký → Hủy có hợp lệ không? SPEC chưa liệt kê đầy đủ các transition cho phép</t>
        </is>
      </c>
      <c r="X9" s="68" t="n"/>
      <c r="Y9" s="68" t="n"/>
      <c r="Z9" s="68" t="n"/>
      <c r="AA9" s="68" t="n"/>
      <c r="AB9" s="68" t="n"/>
      <c r="AC9" s="68" t="n"/>
      <c r="AD9" s="68" t="n"/>
      <c r="AE9" s="68" t="n"/>
      <c r="AF9" s="68" t="n"/>
      <c r="AG9" s="68" t="n"/>
      <c r="AH9" s="68" t="n"/>
      <c r="AI9" s="68" t="n"/>
      <c r="AJ9" s="69" t="n"/>
    </row>
    <row r="10">
      <c r="A10" s="59">
        <f>row()-2</f>
        <v/>
      </c>
      <c r="B10" s="60" t="inlineStr">
        <is>
          <t>TC_AGCY_REF_009</t>
        </is>
      </c>
      <c r="C10" s="71" t="inlineStr">
        <is>
          <t>AW_AGCY_009 — Invalid Transition: Hủy sang Ký</t>
        </is>
      </c>
      <c r="D10" s="63" t="inlineStr">
        <is>
          <t>Negative</t>
        </is>
      </c>
      <c r="E10" s="63" t="inlineStr">
        <is>
          <t>Medium</t>
        </is>
      </c>
      <c r="F10" s="63" t="inlineStr">
        <is>
          <t>AC-04 / AW_AGCY_009</t>
        </is>
      </c>
      <c r="G10" s="63" t="inlineStr">
        <is>
          <t>Check hệ thống ngăn chuyển trạng thái từ "Hủy" sang "Ký" nếu đây là transition không hợp lệ</t>
        </is>
      </c>
      <c r="H10" s="71" t="inlineStr">
        <is>
          <t>System Admin đã đăng nhập. REF-004 "Công ty TNHH Sendai Corp" đang ở trạng thái "Hủy".</t>
        </is>
      </c>
      <c r="I10" s="63" t="inlineStr">
        <is>
          <t>1. Vào màn hình Chi tiết REF-004
2. Thử chọn trạng thái "Ký" trên control trạng thái</t>
        </is>
      </c>
      <c r="J10" s="70" t="inlineStr">
        <is>
          <t>- Nếu "Hủy" là terminal state: option "Ký" bị disabled hoặc ẩn khỏi dropdown
- Nếu option vẫn hiển thị và chọn được: nhấn Lưu thì hệ thống hiển thị lỗi validation, không lưu</t>
        </is>
      </c>
      <c r="K10" s="70" t="inlineStr">
        <is>
          <t>REF-004: "Công ty TNHH Sendai Corp", trạng thái: Hủy</t>
        </is>
      </c>
      <c r="L10" s="70" t="inlineStr">
        <is>
          <t>Medium</t>
        </is>
      </c>
      <c r="M10" s="65" t="n"/>
      <c r="N10" s="66" t="n"/>
      <c r="O10" s="81" t="n"/>
      <c r="P10" s="70" t="n"/>
      <c r="Q10" s="65" t="n"/>
      <c r="R10" s="66" t="n"/>
      <c r="S10" s="81" t="n"/>
      <c r="T10" s="70" t="n"/>
      <c r="U10" s="70" t="n"/>
      <c r="V10" s="70" t="n"/>
      <c r="W10" s="70" t="inlineStr">
        <is>
          <t>⚠️ Cần BA confirm: "Hủy" có phải terminal state không? UI control có disable option không hợp lệ không?</t>
        </is>
      </c>
      <c r="X10" s="68" t="n"/>
      <c r="Y10" s="68" t="n"/>
      <c r="Z10" s="68" t="n"/>
      <c r="AA10" s="68" t="n"/>
      <c r="AB10" s="68" t="n"/>
      <c r="AC10" s="68" t="n"/>
      <c r="AD10" s="68" t="n"/>
      <c r="AE10" s="68" t="n"/>
      <c r="AF10" s="68" t="n"/>
      <c r="AG10" s="68" t="n"/>
      <c r="AH10" s="68" t="n"/>
      <c r="AI10" s="68" t="n"/>
      <c r="AJ10" s="69" t="n"/>
    </row>
    <row r="11">
      <c r="A11" s="59">
        <f>row()-2</f>
        <v/>
      </c>
      <c r="B11" s="60" t="inlineStr">
        <is>
          <t>TC_AGCY_REF_010</t>
        </is>
      </c>
      <c r="C11" s="71" t="inlineStr">
        <is>
          <t>AW_AGCY_009 — Trạng thái đồng bộ về danh sách sau lưu</t>
        </is>
      </c>
      <c r="D11" s="63" t="inlineStr">
        <is>
          <t>Functional</t>
        </is>
      </c>
      <c r="E11" s="63" t="inlineStr">
        <is>
          <t>High</t>
        </is>
      </c>
      <c r="F11" s="63" t="inlineStr">
        <is>
          <t>AC-04 / AW_AGCY_009</t>
        </is>
      </c>
      <c r="G11" s="63" t="inlineStr">
        <is>
          <t>Check trạng thái mới phản ánh đồng bộ trên cả màn hình chi tiết lẫn danh sách sau khi lưu</t>
        </is>
      </c>
      <c r="H11" s="71" t="inlineStr">
        <is>
          <t>System Admin đã đăng nhập. REF-001 đang ở "Đang đàm phán".</t>
        </is>
      </c>
      <c r="I11" s="63" t="inlineStr">
        <is>
          <t>1. Vào Chi tiết REF-001
2. Đổi trạng thái sang "Ký", nhấn [Lưu]
3. Quay lại danh sách AW_AGCY_008
4. Tìm REF-001 trong danh sách</t>
        </is>
      </c>
      <c r="J11" s="70" t="inlineStr">
        <is>
          <t>- AW_AGCY_009: ngay sau lưu hiển thị trạng thái "Ký"
- AW_AGCY_008: REF-001 hiển thị trạng thái "Ký" (không cần reload thêm)</t>
        </is>
      </c>
      <c r="K11" s="70" t="inlineStr">
        <is>
          <t>REF-001</t>
        </is>
      </c>
      <c r="L11" s="70" t="inlineStr">
        <is>
          <t>High</t>
        </is>
      </c>
      <c r="M11" s="65" t="n"/>
      <c r="N11" s="66" t="n"/>
      <c r="O11" s="81" t="n"/>
      <c r="P11" s="70" t="n"/>
      <c r="Q11" s="65" t="n"/>
      <c r="R11" s="66" t="n"/>
      <c r="S11" s="81" t="n"/>
      <c r="T11" s="70" t="n"/>
      <c r="U11" s="70" t="n"/>
      <c r="V11" s="70" t="n"/>
      <c r="W11" s="70" t="inlineStr">
        <is>
          <t>—</t>
        </is>
      </c>
      <c r="X11" s="68" t="n"/>
      <c r="Y11" s="68" t="n"/>
      <c r="Z11" s="68" t="n"/>
      <c r="AA11" s="68" t="n"/>
      <c r="AB11" s="68" t="n"/>
      <c r="AC11" s="68" t="n"/>
      <c r="AD11" s="68" t="n"/>
      <c r="AE11" s="68" t="n"/>
      <c r="AF11" s="68" t="n"/>
      <c r="AG11" s="68" t="n"/>
      <c r="AH11" s="68" t="n"/>
      <c r="AI11" s="68" t="n"/>
      <c r="AJ11" s="69" t="n"/>
    </row>
    <row r="12">
      <c r="A12" s="59">
        <f>row()-2</f>
        <v/>
      </c>
      <c r="B12" s="60" t="inlineStr">
        <is>
          <t>TC_AGCY_REF_011</t>
        </is>
      </c>
      <c r="C12" s="71" t="inlineStr">
        <is>
          <t>AW_AGCY_009 — Edit nội dung và lưu thành công</t>
        </is>
      </c>
      <c r="D12" s="63" t="inlineStr">
        <is>
          <t>Functional</t>
        </is>
      </c>
      <c r="E12" s="63" t="inlineStr">
        <is>
          <t>Medium</t>
        </is>
      </c>
      <c r="F12" s="63" t="inlineStr">
        <is>
          <t>AC-04 / AW_AGCY_009</t>
        </is>
      </c>
      <c r="G12" s="63" t="inlineStr">
        <is>
          <t>Check chỉnh sửa nội dung cơ hội giới thiệu và lưu thành công</t>
        </is>
      </c>
      <c r="H12" s="71" t="inlineStr">
        <is>
          <t>System Admin đã đăng nhập. REF-001 có ghi chú ban đầu là "Gặp gỡ lần 1".</t>
        </is>
      </c>
      <c r="I12" s="63" t="inlineStr">
        <is>
          <t>1. Vào Chi tiết REF-001 (AW_AGCY_009)
2. Chỉnh sửa field nội dung (ghi chú) thành "Đã gặp gỡ lần 2, hẹn thêm buổi thứ 3 vào tuần tới"
3. Nhấn [Lưu]</t>
        </is>
      </c>
      <c r="J12" s="70" t="inlineStr">
        <is>
          <t>- Hệ thống lưu thành công
- Nội dung mới hiển thị đúng sau khi lưu
- Có thông báo lưu thành công</t>
        </is>
      </c>
      <c r="K12" s="70" t="inlineStr">
        <is>
          <t>REF-001, nội dung mới: "Đã gặp gỡ lần 2, hẹn thêm buổi thứ 3 vào tuần tới"</t>
        </is>
      </c>
      <c r="L12" s="70" t="inlineStr">
        <is>
          <t>Medium</t>
        </is>
      </c>
      <c r="M12" s="65" t="n"/>
      <c r="N12" s="66" t="n"/>
      <c r="O12" s="81" t="n"/>
      <c r="P12" s="70" t="n"/>
      <c r="Q12" s="65" t="n"/>
      <c r="R12" s="66" t="n"/>
      <c r="S12" s="81" t="n"/>
      <c r="T12" s="70" t="n"/>
      <c r="U12" s="70" t="n"/>
      <c r="V12" s="70" t="n"/>
      <c r="W12" s="70" t="inlineStr">
        <is>
          <t>⚠️ Cần BA confirm: field nào có thể edit trên AW_AGCY_009 (SPEC chỉ ghi "chỉnh sửa nội dung" không liệt kê field)</t>
        </is>
      </c>
      <c r="X12" s="68" t="n"/>
      <c r="Y12" s="68" t="n"/>
      <c r="Z12" s="68" t="n"/>
      <c r="AA12" s="68" t="n"/>
      <c r="AB12" s="68" t="n"/>
      <c r="AC12" s="68" t="n"/>
      <c r="AD12" s="68" t="n"/>
      <c r="AE12" s="68" t="n"/>
      <c r="AF12" s="68" t="n"/>
      <c r="AG12" s="68" t="n"/>
      <c r="AH12" s="68" t="n"/>
      <c r="AI12" s="68" t="n"/>
      <c r="AJ12" s="69" t="n"/>
    </row>
    <row r="13">
      <c r="A13" s="59">
        <f>row()-2</f>
        <v/>
      </c>
      <c r="B13" s="60" t="inlineStr">
        <is>
          <t>TC_AGCY_REF_012</t>
        </is>
      </c>
      <c r="C13" s="71" t="inlineStr">
        <is>
          <t>AW_AGCY_009 — Xóa: hiển thị confirm dialog</t>
        </is>
      </c>
      <c r="D13" s="63" t="inlineStr">
        <is>
          <t>Functional</t>
        </is>
      </c>
      <c r="E13" s="63" t="inlineStr">
        <is>
          <t>Critical</t>
        </is>
      </c>
      <c r="F13" s="63" t="inlineStr">
        <is>
          <t>AC-04 / AW_AGCY_009</t>
        </is>
      </c>
      <c r="G13" s="63" t="inlineStr">
        <is>
          <t>Check nhấn [Xóa] sẽ hiển thị dialog xác nhận trước khi thực sự xóa dữ liệu</t>
        </is>
      </c>
      <c r="H13" s="71" t="inlineStr">
        <is>
          <t>System Admin đã đăng nhập. REF-005 "Công ty TNHH Nara Foods" không có hợp đồng active.</t>
        </is>
      </c>
      <c r="I13" s="63" t="inlineStr">
        <is>
          <t>1. Vào Chi tiết REF-005 (AW_AGCY_009)
2. Nhấn nút [Xóa]</t>
        </is>
      </c>
      <c r="J13" s="70" t="inlineStr">
        <is>
          <t>- Hệ thống hiển thị dialog xác nhận xóa
- Dialog có thông báo rõ ràng yêu cầu xác nhận
- Dialog có 2 nút: xác nhận và hủy
- REF-005 chưa bị xóa tại thời điểm dialog xuất hiện</t>
        </is>
      </c>
      <c r="K13" s="70" t="inlineStr">
        <is>
          <t>REF-005: "Công ty TNHH Nara Foods", không có hợp đồng active</t>
        </is>
      </c>
      <c r="L13" s="70" t="inlineStr">
        <is>
          <t>Critical</t>
        </is>
      </c>
      <c r="M13" s="65" t="n"/>
      <c r="N13" s="66" t="n"/>
      <c r="O13" s="81" t="n"/>
      <c r="P13" s="70" t="n"/>
      <c r="Q13" s="65" t="n"/>
      <c r="R13" s="66" t="n"/>
      <c r="S13" s="81" t="n"/>
      <c r="T13" s="70" t="n"/>
      <c r="U13" s="70" t="n"/>
      <c r="V13" s="70" t="n"/>
      <c r="W13" s="70" t="inlineStr">
        <is>
          <t>⚠️ Cần BA/Designer confirm: nội dung text confirm dialog</t>
        </is>
      </c>
      <c r="X13" s="68" t="n"/>
      <c r="Y13" s="68" t="n"/>
      <c r="Z13" s="68" t="n"/>
      <c r="AA13" s="68" t="n"/>
      <c r="AB13" s="68" t="n"/>
      <c r="AC13" s="68" t="n"/>
      <c r="AD13" s="68" t="n"/>
      <c r="AE13" s="68" t="n"/>
      <c r="AF13" s="68" t="n"/>
      <c r="AG13" s="68" t="n"/>
      <c r="AH13" s="68" t="n"/>
      <c r="AI13" s="68" t="n"/>
      <c r="AJ13" s="69" t="n"/>
    </row>
    <row r="14">
      <c r="A14" s="59">
        <f>row()-2</f>
        <v/>
      </c>
      <c r="B14" s="60" t="inlineStr">
        <is>
          <t>TC_AGCY_REF_013</t>
        </is>
      </c>
      <c r="C14" s="71" t="inlineStr">
        <is>
          <t>AW_AGCY_009 — Xóa: nhấn Hủy trong confirm dialog</t>
        </is>
      </c>
      <c r="D14" s="63" t="inlineStr">
        <is>
          <t>Negative</t>
        </is>
      </c>
      <c r="E14" s="63" t="inlineStr">
        <is>
          <t>Critical</t>
        </is>
      </c>
      <c r="F14" s="63" t="inlineStr">
        <is>
          <t>AC-04 / AW_AGCY_009</t>
        </is>
      </c>
      <c r="G14" s="63" t="inlineStr">
        <is>
          <t>Check nhấn [Hủy] trong confirm dialog sẽ không xóa dữ liệu và giữ nguyên màn hình</t>
        </is>
      </c>
      <c r="H14" s="71" t="inlineStr">
        <is>
          <t>System Admin đã đăng nhập. REF-005 không có hợp đồng active. Confirm dialog đang hiển thị.</t>
        </is>
      </c>
      <c r="I14" s="63" t="inlineStr">
        <is>
          <t>1. Vào Chi tiết REF-005
2. Nhấn [Xóa], confirm dialog xuất hiện
3. Trong dialog, nhấn [Hủy]</t>
        </is>
      </c>
      <c r="J14" s="70" t="inlineStr">
        <is>
          <t>- Dialog đóng lại
- REF-005 vẫn tồn tại, không bị xóa
- Màn hình vẫn ở AW_AGCY_009 của REF-005
- Dữ liệu không thay đổi</t>
        </is>
      </c>
      <c r="K14" s="70" t="inlineStr">
        <is>
          <t>REF-005</t>
        </is>
      </c>
      <c r="L14" s="70" t="inlineStr">
        <is>
          <t>Critical</t>
        </is>
      </c>
      <c r="M14" s="65" t="n"/>
      <c r="N14" s="66" t="n"/>
      <c r="O14" s="81" t="n"/>
      <c r="P14" s="70" t="n"/>
      <c r="Q14" s="65" t="n"/>
      <c r="R14" s="66" t="n"/>
      <c r="S14" s="81" t="n"/>
      <c r="T14" s="70" t="n"/>
      <c r="U14" s="70" t="n"/>
      <c r="V14" s="70" t="n"/>
      <c r="W14" s="70" t="inlineStr">
        <is>
          <t>—</t>
        </is>
      </c>
      <c r="X14" s="68" t="n"/>
      <c r="Y14" s="68" t="n"/>
      <c r="Z14" s="68" t="n"/>
      <c r="AA14" s="68" t="n"/>
      <c r="AB14" s="68" t="n"/>
      <c r="AC14" s="68" t="n"/>
      <c r="AD14" s="68" t="n"/>
      <c r="AE14" s="68" t="n"/>
      <c r="AF14" s="68" t="n"/>
      <c r="AG14" s="68" t="n"/>
      <c r="AH14" s="68" t="n"/>
      <c r="AI14" s="68" t="n"/>
      <c r="AJ14" s="69" t="n"/>
    </row>
    <row r="15">
      <c r="A15" s="59">
        <f>row()-2</f>
        <v/>
      </c>
      <c r="B15" s="60" t="inlineStr">
        <is>
          <t>TC_AGCY_REF_014</t>
        </is>
      </c>
      <c r="C15" s="71" t="inlineStr">
        <is>
          <t>AW_AGCY_009 — Xóa thành công: pháp nhân không có hợp đồng active</t>
        </is>
      </c>
      <c r="D15" s="63" t="inlineStr">
        <is>
          <t>Functional</t>
        </is>
      </c>
      <c r="E15" s="63" t="inlineStr">
        <is>
          <t>Critical</t>
        </is>
      </c>
      <c r="F15" s="63" t="inlineStr">
        <is>
          <t>AC-04 / AW_AGCY_009</t>
        </is>
      </c>
      <c r="G15" s="63" t="inlineStr">
        <is>
          <t>Check xóa cơ hội giới thiệu thành công khi pháp nhân không có hợp đồng active</t>
        </is>
      </c>
      <c r="H15" s="71" t="inlineStr">
        <is>
          <t>System Admin đã đăng nhập. REF-005 "Công ty TNHH Nara Foods" xác nhận KHÔNG có hợp đồng nào đang active.</t>
        </is>
      </c>
      <c r="I15" s="63" t="inlineStr">
        <is>
          <t>1. Vào Chi tiết REF-005
2. Nhấn [Xóa]
3. Trong confirm dialog, nhấn [Xác nhận]</t>
        </is>
      </c>
      <c r="J15" s="70" t="inlineStr">
        <is>
          <t>- REF-005 bị xóa thành công
- Hệ thống điều hướng về danh sách AW_AGCY_008
- REF-005 không còn trong danh sách
- Có thông báo xóa thành công</t>
        </is>
      </c>
      <c r="K15" s="70" t="inlineStr">
        <is>
          <t>REF-005: "Công ty TNHH Nara Foods", 0 hợp đồng active</t>
        </is>
      </c>
      <c r="L15" s="70" t="inlineStr">
        <is>
          <t>Critical</t>
        </is>
      </c>
      <c r="M15" s="65" t="n"/>
      <c r="N15" s="66" t="n"/>
      <c r="O15" s="81" t="n"/>
      <c r="P15" s="70" t="n"/>
      <c r="Q15" s="65" t="n"/>
      <c r="R15" s="66" t="n"/>
      <c r="S15" s="81" t="n"/>
      <c r="T15" s="70" t="n"/>
      <c r="U15" s="70" t="n"/>
      <c r="V15" s="70" t="n"/>
      <c r="W15" s="70" t="inlineStr">
        <is>
          <t>—</t>
        </is>
      </c>
      <c r="X15" s="68" t="n"/>
      <c r="Y15" s="68" t="n"/>
      <c r="Z15" s="68" t="n"/>
      <c r="AA15" s="68" t="n"/>
      <c r="AB15" s="68" t="n"/>
      <c r="AC15" s="68" t="n"/>
      <c r="AD15" s="68" t="n"/>
      <c r="AE15" s="68" t="n"/>
      <c r="AF15" s="68" t="n"/>
      <c r="AG15" s="68" t="n"/>
      <c r="AH15" s="68" t="n"/>
      <c r="AI15" s="68" t="n"/>
      <c r="AJ15" s="69" t="n"/>
    </row>
    <row r="16">
      <c r="A16" s="59">
        <f>row()-2</f>
        <v/>
      </c>
      <c r="B16" s="60" t="inlineStr">
        <is>
          <t>TC_AGCY_REF_015</t>
        </is>
      </c>
      <c r="C16" s="71" t="inlineStr">
        <is>
          <t>AW_AGCY_009 — Xóa bị ngăn: pháp nhân có hợp đồng active (AF-03)</t>
        </is>
      </c>
      <c r="D16" s="63" t="inlineStr">
        <is>
          <t>Negative</t>
        </is>
      </c>
      <c r="E16" s="63" t="inlineStr">
        <is>
          <t>Critical</t>
        </is>
      </c>
      <c r="F16" s="63" t="inlineStr">
        <is>
          <t>AC-04 / AF-03 / AW_AGCY_009</t>
        </is>
      </c>
      <c r="G16" s="63" t="inlineStr">
        <is>
          <t>Check hệ thống ngăn xóa và hiển thị cảnh báo khi pháp nhân đang có hợp đồng active</t>
        </is>
      </c>
      <c r="H16" s="63" t="inlineStr">
        <is>
          <t>System Admin đã đăng nhập. REF-001 "Công ty CP Tokyo Foods" đang có hợp đồng CTR-001 ở trạng thái Active.</t>
        </is>
      </c>
      <c r="I16" s="63" t="inlineStr">
        <is>
          <t>1. Vào Chi tiết REF-001 (AW_AGCY_009)
2. Nhấn nút [Xóa]</t>
        </is>
      </c>
      <c r="J16" s="70" t="inlineStr">
        <is>
          <t>- Hệ thống hiển thị thông báo cảnh báo ngăn xóa
- Thông báo nêu rõ lý do: pháp nhân đang có hợp đồng active
- REF-001 KHÔNG bị xóa
- Màn hình giữ nguyên</t>
        </is>
      </c>
      <c r="K16" s="70" t="inlineStr">
        <is>
          <t>REF-001: "Công ty CP Tokyo Foods", hợp đồng: CTR-001 (Active)</t>
        </is>
      </c>
      <c r="L16" s="70" t="inlineStr">
        <is>
          <t>Critical</t>
        </is>
      </c>
      <c r="M16" s="65" t="n"/>
      <c r="N16" s="66" t="n"/>
      <c r="O16" s="81" t="n"/>
      <c r="P16" s="70" t="n"/>
      <c r="Q16" s="65" t="n"/>
      <c r="R16" s="66" t="n"/>
      <c r="S16" s="81" t="n"/>
      <c r="T16" s="70" t="n"/>
      <c r="U16" s="70" t="n"/>
      <c r="V16" s="70" t="n"/>
      <c r="W16" s="70" t="inlineStr">
        <is>
          <t>⚠️ Cần BA confirm: hệ thống ngăn ngay khi nhấn Xóa hay sau khi confirm dialog? (SPEC AF-03 ghi "hiển thị thông báo cảnh báo" nhưng không nêu rõ thứ tự)</t>
        </is>
      </c>
      <c r="X16" s="68" t="n"/>
      <c r="Y16" s="68" t="n"/>
      <c r="Z16" s="68" t="n"/>
      <c r="AA16" s="68" t="n"/>
      <c r="AB16" s="68" t="n"/>
      <c r="AC16" s="68" t="n"/>
      <c r="AD16" s="68" t="n"/>
      <c r="AE16" s="68" t="n"/>
      <c r="AF16" s="68" t="n"/>
      <c r="AG16" s="68" t="n"/>
      <c r="AH16" s="68" t="n"/>
      <c r="AI16" s="68" t="n"/>
      <c r="AJ16" s="69" t="n"/>
    </row>
    <row r="17">
      <c r="A17" s="59">
        <f>row()-2</f>
        <v/>
      </c>
      <c r="B17" s="60" t="inlineStr">
        <is>
          <t>TC_AGCY_REF_016</t>
        </is>
      </c>
      <c r="C17" s="71" t="inlineStr">
        <is>
          <t>AW_AGCY_009 — Thông báo lý do ngăn xóa hiển thị rõ ràng</t>
        </is>
      </c>
      <c r="D17" s="63" t="inlineStr">
        <is>
          <t>Functional</t>
        </is>
      </c>
      <c r="E17" s="63" t="inlineStr">
        <is>
          <t>High</t>
        </is>
      </c>
      <c r="F17" s="63" t="inlineStr">
        <is>
          <t>AC-04 / AF-03 / AW_AGCY_009</t>
        </is>
      </c>
      <c r="G17" s="63" t="inlineStr">
        <is>
          <t>Check thông báo cảnh báo ngăn xóa có nội dung đủ thông tin để System Admin hiểu nguyên nhân</t>
        </is>
      </c>
      <c r="H17" s="63" t="inlineStr">
        <is>
          <t>System Admin đã đăng nhập. REF-001 có hợp đồng CTR-001 Active.</t>
        </is>
      </c>
      <c r="I17" s="63" t="inlineStr">
        <is>
          <t>1. Vào Chi tiết REF-001
2. Nhấn [Xóa]</t>
        </is>
      </c>
      <c r="J17" s="70" t="inlineStr">
        <is>
          <t>- Thông báo không phải lỗi generic (VD không phải chỉ "Lỗi hệ thống")
- Thông báo đề cập pháp nhân đang có hợp đồng active là lý do không thể xóa
- System Admin hiểu cần hủy hợp đồng trước nếu muốn xóa referral</t>
        </is>
      </c>
      <c r="K17" s="70" t="inlineStr">
        <is>
          <t>REF-001, CTR-001 (Active)</t>
        </is>
      </c>
      <c r="L17" s="70" t="inlineStr">
        <is>
          <t>High</t>
        </is>
      </c>
      <c r="M17" s="65" t="n"/>
      <c r="N17" s="66" t="n"/>
      <c r="O17" s="81" t="n"/>
      <c r="P17" s="70" t="n"/>
      <c r="Q17" s="65" t="n"/>
      <c r="R17" s="66" t="n"/>
      <c r="S17" s="81" t="n"/>
      <c r="T17" s="70" t="n"/>
      <c r="U17" s="81" t="n"/>
      <c r="V17" s="81" t="n"/>
      <c r="W17" s="81" t="inlineStr">
        <is>
          <t>⚠️ Cần BA/Designer confirm: nội dung message cụ thể và có link dẫn đến hợp đồng không</t>
        </is>
      </c>
      <c r="X17" s="68" t="n"/>
      <c r="Y17" s="68" t="n"/>
      <c r="Z17" s="68" t="n"/>
      <c r="AA17" s="68" t="n"/>
      <c r="AB17" s="68" t="n"/>
      <c r="AC17" s="68" t="n"/>
      <c r="AD17" s="68" t="n"/>
      <c r="AE17" s="68" t="n"/>
      <c r="AF17" s="68" t="n"/>
      <c r="AG17" s="68" t="n"/>
      <c r="AH17" s="68" t="n"/>
      <c r="AI17" s="68" t="n"/>
      <c r="AJ17" s="69" t="n"/>
    </row>
    <row r="18">
      <c r="A18" s="59">
        <f>row()-2</f>
        <v/>
      </c>
      <c r="B18" s="60" t="inlineStr">
        <is>
          <t>TC_AGCY_REF_017</t>
        </is>
      </c>
      <c r="C18" s="71" t="inlineStr">
        <is>
          <t>AW_AGCY_009 — Lịch sử cập nhật ghi nhận sau thay đổi</t>
        </is>
      </c>
      <c r="D18" s="63" t="inlineStr">
        <is>
          <t>Functional</t>
        </is>
      </c>
      <c r="E18" s="63" t="inlineStr">
        <is>
          <t>Medium</t>
        </is>
      </c>
      <c r="F18" s="63" t="inlineStr">
        <is>
          <t>AC-04 / AW_AGCY_009</t>
        </is>
      </c>
      <c r="G18" s="63" t="inlineStr">
        <is>
          <t>Check lịch sử cập nhật ghi nhận đầy đủ sau mỗi lần thay đổi trạng thái</t>
        </is>
      </c>
      <c r="H18" s="63" t="inlineStr">
        <is>
          <t>System Admin đã đăng nhập. REF-001 ban đầu ở "Đang đàm phán", có sẵn 1 bản ghi lịch sử.</t>
        </is>
      </c>
      <c r="I18" s="63" t="inlineStr">
        <is>
          <t>1. Vào Chi tiết REF-001
2. Đổi trạng thái sang "Ký", nhấn [Lưu]
3. Quan sát section lịch sử cập nhật</t>
        </is>
      </c>
      <c r="J18" s="70" t="inlineStr">
        <is>
          <t>- Lịch sử có thêm bản ghi mới nhất với timestamp
- Bản ghi mới phản ánh trạng thái vừa thay đổi
- Bản ghi cũ vẫn còn, không bị xóa
- Thứ tự sắp xếp theo thời gian nhất quán</t>
        </is>
      </c>
      <c r="K18" s="70" t="inlineStr">
        <is>
          <t>REF-001, 1 bản ghi lịch sử ban đầu</t>
        </is>
      </c>
      <c r="L18" s="70" t="inlineStr">
        <is>
          <t>Medium</t>
        </is>
      </c>
      <c r="M18" s="65" t="n"/>
      <c r="N18" s="66" t="n"/>
      <c r="O18" s="81" t="n"/>
      <c r="P18" s="70" t="n"/>
      <c r="Q18" s="65" t="n"/>
      <c r="R18" s="66" t="n"/>
      <c r="S18" s="81" t="n"/>
      <c r="T18" s="70" t="n"/>
      <c r="U18" s="81" t="n"/>
      <c r="V18" s="81" t="n"/>
      <c r="W18" s="81" t="inlineStr">
        <is>
          <t>⚠️ Cần BA confirm: bản ghi lịch sử ghi nhận những field nào (trạng thái cũ, mới, người thay đổi, timestamp)</t>
        </is>
      </c>
      <c r="X18" s="68" t="n"/>
      <c r="Y18" s="68" t="n"/>
      <c r="Z18" s="68" t="n"/>
      <c r="AA18" s="68" t="n"/>
      <c r="AB18" s="68" t="n"/>
      <c r="AC18" s="68" t="n"/>
      <c r="AD18" s="68" t="n"/>
      <c r="AE18" s="68" t="n"/>
      <c r="AF18" s="68" t="n"/>
      <c r="AG18" s="68" t="n"/>
      <c r="AH18" s="68" t="n"/>
      <c r="AI18" s="68" t="n"/>
      <c r="AJ18" s="69" t="n"/>
    </row>
    <row r="19">
      <c r="A19" s="59">
        <f>row()-2</f>
        <v/>
      </c>
      <c r="B19" s="60" t="inlineStr">
        <is>
          <t>TC_AGCY_REF_018</t>
        </is>
      </c>
      <c r="C19" s="71" t="inlineStr">
        <is>
          <t>AW_AGCY_009 — Truy cập chi tiết referral ID không tồn tại</t>
        </is>
      </c>
      <c r="D19" s="63" t="inlineStr">
        <is>
          <t>Negative</t>
        </is>
      </c>
      <c r="E19" s="63" t="inlineStr">
        <is>
          <t>Medium</t>
        </is>
      </c>
      <c r="F19" s="63" t="inlineStr">
        <is>
          <t>AC-04 / AW_AGCY_009</t>
        </is>
      </c>
      <c r="G19" s="63" t="inlineStr">
        <is>
          <t>Check hệ thống xử lý đúng khi truy cập màn hình chi tiết với ID referral không tồn tại</t>
        </is>
      </c>
      <c r="H19" s="71" t="inlineStr">
        <is>
          <t>System Admin đã đăng nhập.</t>
        </is>
      </c>
      <c r="I19" s="63" t="inlineStr">
        <is>
          <t>1. Truy cập trực tiếp URL màn hình chi tiết với ID không tồn tại: referral_id=99999</t>
        </is>
      </c>
      <c r="J19" s="70" t="inlineStr">
        <is>
          <t>- Hiển thị trang 404 hoặc thông báo "Không tìm thấy cơ hội giới thiệu"
- Không bị crash hoặc hiển thị lỗi chưa xử lý
- Có điều hướng về danh sách hoặc trang trước</t>
        </is>
      </c>
      <c r="K19" s="70" t="inlineStr">
        <is>
          <t>referral_id: 99999 (không tồn tại)</t>
        </is>
      </c>
      <c r="L19" s="70" t="inlineStr">
        <is>
          <t>Medium</t>
        </is>
      </c>
      <c r="M19" s="65" t="n"/>
      <c r="N19" s="66" t="n"/>
      <c r="O19" s="81" t="n"/>
      <c r="P19" s="70" t="n"/>
      <c r="Q19" s="65" t="n"/>
      <c r="R19" s="66" t="n"/>
      <c r="S19" s="81" t="n"/>
      <c r="T19" s="70" t="n"/>
      <c r="U19" s="70" t="n"/>
      <c r="V19" s="70" t="n"/>
      <c r="W19" s="70" t="inlineStr">
        <is>
          <t>—</t>
        </is>
      </c>
      <c r="X19" s="68" t="n"/>
      <c r="Y19" s="68" t="n"/>
      <c r="Z19" s="68" t="n"/>
      <c r="AA19" s="68" t="n"/>
      <c r="AB19" s="68" t="n"/>
      <c r="AC19" s="68" t="n"/>
      <c r="AD19" s="68" t="n"/>
      <c r="AE19" s="68" t="n"/>
      <c r="AF19" s="68" t="n"/>
      <c r="AG19" s="68" t="n"/>
      <c r="AH19" s="68" t="n"/>
      <c r="AI19" s="68" t="n"/>
      <c r="AJ19" s="69" t="n"/>
    </row>
    <row r="20">
      <c r="A20" s="59">
        <f>row()-2</f>
        <v/>
      </c>
      <c r="B20" s="60" t="inlineStr">
        <is>
          <t>TC_AGCY_REF_019</t>
        </is>
      </c>
      <c r="C20" s="71" t="inlineStr">
        <is>
          <t>AW_AGCY_008 — Danh sách với nhiều bản ghi (boundary)</t>
        </is>
      </c>
      <c r="D20" s="63" t="inlineStr">
        <is>
          <t>Boundary</t>
        </is>
      </c>
      <c r="E20" s="63" t="inlineStr">
        <is>
          <t>Low</t>
        </is>
      </c>
      <c r="F20" s="63" t="inlineStr">
        <is>
          <t>AC-03 / AW_AGCY_008</t>
        </is>
      </c>
      <c r="G20" s="63" t="inlineStr">
        <is>
          <t>Check danh sách hiển thị đúng khi đại lý có nhiều cơ hội giới thiệu</t>
        </is>
      </c>
      <c r="H20" s="71" t="inlineStr">
        <is>
          <t>System Admin đã đăng nhập. AGC-003 có 25 referral.</t>
        </is>
      </c>
      <c r="I20" s="63" t="inlineStr">
        <is>
          <t>1. Truy cập màn hình Danh sách Cơ hội Giới thiệu của AGC-003
2. Quan sát cơ chế hiển thị toàn bộ danh sách</t>
        </is>
      </c>
      <c r="J20" s="70" t="inlineStr">
        <is>
          <t>- Toàn bộ 25 referral đều có thể truy cập (qua phân trang hoặc scroll)
- Không có bản ghi bị ẩn hoặc mất
- Hiệu năng không bị lag rõ rệt</t>
        </is>
      </c>
      <c r="K20" s="70" t="inlineStr">
        <is>
          <t>AGC-003 có 25 referrals</t>
        </is>
      </c>
      <c r="L20" s="70" t="inlineStr">
        <is>
          <t>Low</t>
        </is>
      </c>
      <c r="M20" s="65" t="n"/>
      <c r="N20" s="66" t="n"/>
      <c r="O20" s="81" t="n"/>
      <c r="P20" s="70" t="n"/>
      <c r="Q20" s="65" t="n"/>
      <c r="R20" s="66" t="n"/>
      <c r="S20" s="81" t="n"/>
      <c r="T20" s="70" t="n"/>
      <c r="U20" s="70" t="n"/>
      <c r="V20" s="70" t="n"/>
      <c r="W20" s="70" t="inlineStr">
        <is>
          <t>⚠️ Cần BA confirm: page size mặc định và cơ chế phân trang (SPEC AC-03 không đề cập phân trang cho danh sách referral)</t>
        </is>
      </c>
      <c r="X20" s="68" t="n"/>
      <c r="Y20" s="68" t="n"/>
      <c r="Z20" s="68" t="n"/>
      <c r="AA20" s="68" t="n"/>
      <c r="AB20" s="68" t="n"/>
      <c r="AC20" s="68" t="n"/>
      <c r="AD20" s="68" t="n"/>
      <c r="AE20" s="68" t="n"/>
      <c r="AF20" s="68" t="n"/>
      <c r="AG20" s="68" t="n"/>
      <c r="AH20" s="68" t="n"/>
      <c r="AI20" s="68" t="n"/>
      <c r="AJ20" s="69" t="n"/>
    </row>
    <row r="21">
      <c r="A21" s="59">
        <f>row()-2</f>
        <v/>
      </c>
      <c r="B21" s="60" t="inlineStr">
        <is>
          <t>TC_AGCY_REF_020</t>
        </is>
      </c>
      <c r="C21" s="71" t="inlineStr">
        <is>
          <t>AW_AGCY_009 — Nút Lưu khi không có thay đổi</t>
        </is>
      </c>
      <c r="D21" s="63" t="inlineStr">
        <is>
          <t>Functional</t>
        </is>
      </c>
      <c r="E21" s="63" t="inlineStr">
        <is>
          <t>Low</t>
        </is>
      </c>
      <c r="F21" s="63" t="inlineStr">
        <is>
          <t>AC-04 / AW_AGCY_009</t>
        </is>
      </c>
      <c r="G21" s="63" t="inlineStr">
        <is>
          <t>Check trạng thái nút [Lưu] khi System Admin vào màn hình chi tiết mà không sửa gì</t>
        </is>
      </c>
      <c r="H21" s="71" t="inlineStr">
        <is>
          <t>System Admin đã đăng nhập. Vào Chi tiết REF-001, không thực hiện thay đổi.</t>
        </is>
      </c>
      <c r="I21" s="63" t="inlineStr">
        <is>
          <t>1. Vào Chi tiết REF-001 (AW_AGCY_009)
2. Không thay đổi bất kỳ field nào
3. Nhấn [Lưu] nếu nút enabled</t>
        </is>
      </c>
      <c r="J21" s="70" t="inlineStr">
        <is>
          <t>- Nếu [Lưu] disabled khi không có thay đổi: nút grayed out, không respond khi nhấn
- Nếu [Lưu] luôn enabled: hệ thống xử lý bình thường, không tạo bản ghi lịch sử thừa, không có lỗi</t>
        </is>
      </c>
      <c r="K21" s="70" t="inlineStr">
        <is>
          <t>REF-001</t>
        </is>
      </c>
      <c r="L21" s="70" t="inlineStr">
        <is>
          <t>Low</t>
        </is>
      </c>
      <c r="M21" s="65" t="n"/>
      <c r="N21" s="66" t="n"/>
      <c r="O21" s="81" t="n"/>
      <c r="P21" s="70" t="n"/>
      <c r="Q21" s="65" t="n"/>
      <c r="R21" s="66" t="n"/>
      <c r="S21" s="81" t="n"/>
      <c r="T21" s="70" t="n"/>
      <c r="U21" s="70" t="n"/>
      <c r="V21" s="70" t="n"/>
      <c r="W21" s="70" t="inlineStr">
        <is>
          <t>⚠️ Cần BA/Designer confirm: [Lưu] disabled hay luôn enabled</t>
        </is>
      </c>
      <c r="X21" s="68" t="n"/>
      <c r="Y21" s="68" t="n"/>
      <c r="Z21" s="68" t="n"/>
      <c r="AA21" s="68" t="n"/>
      <c r="AB21" s="68" t="n"/>
      <c r="AC21" s="68" t="n"/>
      <c r="AD21" s="68" t="n"/>
      <c r="AE21" s="68" t="n"/>
      <c r="AF21" s="68" t="n"/>
      <c r="AG21" s="68" t="n"/>
      <c r="AH21" s="68" t="n"/>
      <c r="AI21" s="68" t="n"/>
      <c r="AJ21" s="69" t="n"/>
    </row>
    <row r="22">
      <c r="A22" s="59">
        <f>row()-2</f>
        <v/>
      </c>
      <c r="B22" s="60" t="n"/>
      <c r="C22" s="71" t="n"/>
      <c r="D22" s="63" t="n"/>
      <c r="E22" s="63" t="n"/>
      <c r="F22" s="63" t="n"/>
      <c r="G22" s="63" t="n"/>
      <c r="H22" s="71" t="n"/>
      <c r="I22" s="63" t="n"/>
      <c r="J22" s="70" t="n"/>
      <c r="K22" s="70" t="n"/>
      <c r="L22" s="70" t="n"/>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n"/>
      <c r="C23" s="71" t="n"/>
      <c r="D23" s="63" t="n"/>
      <c r="E23" s="63" t="n"/>
      <c r="F23" s="63" t="n"/>
      <c r="G23" s="71" t="n"/>
      <c r="H23" s="71" t="n"/>
      <c r="I23" s="71" t="n"/>
      <c r="J23" s="70" t="n"/>
      <c r="K23" s="70" t="n"/>
      <c r="L23" s="70" t="n"/>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TC_AGCY_FEE_001</t>
        </is>
      </c>
      <c r="C2" s="63" t="inlineStr">
        <is>
          <t>AW_AGCY_010 — Bảng doanh số</t>
        </is>
      </c>
      <c r="D2" s="71" t="inlineStr">
        <is>
          <t>Functional</t>
        </is>
      </c>
      <c r="E2" s="71" t="inlineStr">
        <is>
          <t>High</t>
        </is>
      </c>
      <c r="F2" s="71" t="inlineStr">
        <is>
          <t>AC-05 / AW_AGCY_010</t>
        </is>
      </c>
      <c r="G2" s="63" t="inlineStr">
        <is>
          <t>Check bảng doanh số hiển thị đúng tổng doanh thu từng đại lý trong tháng được chọn</t>
        </is>
      </c>
      <c r="H2" s="71" t="inlineStr">
        <is>
          <t>System Admin đã đăng nhập (E03). Hệ thống có 3 đại lý đang chạy. Tháng 09/2026: AG001 có 5 đơn hàng phát sinh tổng 650,000¥; AG002 có 2 đơn hàng tổng 500,000¥; AG003 không có đơn hàng nào.</t>
        </is>
      </c>
      <c r="I2" s="71" t="inlineStr">
        <is>
          <t>1. Truy cập màn hình AW_AGCY_010 "Doanh số theo Đại lý"
2. Quan sát bảng dữ liệu và giá trị hiển thị</t>
        </is>
      </c>
      <c r="J2" s="70" t="inlineStr">
        <is>
          <t>- Bảng hiển thị đủ 3 hàng cho AG001, AG002, AG003
- AG001 "株式会社エクセレント": tổng doanh thu 650,000¥
- AG002 "株式会社フード": tổng doanh thu 500,000¥
- AG003 "テスト株式会社": tổng doanh thu 0¥
- Bộ lọc kỳ mặc định hiển thị tháng 09/2026</t>
        </is>
      </c>
      <c r="K2" s="70" t="inlineStr">
        <is>
          <t>AG001 ID=AGC-001: 5 đơn (100,000 + 200,000 + 150,000 + 80,000 + 120,000 = 650,000¥)
AG002 ID=AGC-002: 2 đơn (300,000 + 200,000 = 500,000¥)
AG003 ID=AGC-003: 0 đơn</t>
        </is>
      </c>
      <c r="L2" s="70" t="inlineStr">
        <is>
          <t>Critical</t>
        </is>
      </c>
      <c r="M2" s="65" t="n"/>
      <c r="N2" s="66" t="n"/>
      <c r="O2" s="81" t="n"/>
      <c r="P2" s="81" t="n"/>
      <c r="Q2" s="65" t="n"/>
      <c r="R2" s="66" t="n"/>
      <c r="S2" s="81" t="n"/>
      <c r="T2" s="81" t="n"/>
      <c r="U2" s="63" t="n"/>
      <c r="V2" s="63" t="n"/>
      <c r="W2" s="81" t="inlineStr">
        <is>
          <t>—</t>
        </is>
      </c>
      <c r="X2" s="68" t="n"/>
      <c r="Y2" s="68" t="n"/>
      <c r="Z2" s="68" t="n"/>
      <c r="AA2" s="68" t="n"/>
      <c r="AB2" s="68" t="n"/>
      <c r="AC2" s="68" t="n"/>
      <c r="AD2" s="68" t="n"/>
      <c r="AE2" s="68" t="n"/>
      <c r="AF2" s="68" t="n"/>
      <c r="AG2" s="68" t="n"/>
      <c r="AH2" s="68" t="n"/>
      <c r="AI2" s="68" t="n"/>
      <c r="AJ2" s="69" t="n"/>
    </row>
    <row r="3">
      <c r="A3" s="59">
        <f>row()-2</f>
        <v/>
      </c>
      <c r="B3" s="60" t="inlineStr">
        <is>
          <t>TC_AGCY_FEE_002</t>
        </is>
      </c>
      <c r="C3" s="63" t="inlineStr">
        <is>
          <t>AW_AGCY_010 — Filter kỳ tháng</t>
        </is>
      </c>
      <c r="D3" s="63" t="inlineStr">
        <is>
          <t>Functional</t>
        </is>
      </c>
      <c r="E3" s="63" t="inlineStr">
        <is>
          <t>High</t>
        </is>
      </c>
      <c r="F3" s="63" t="inlineStr">
        <is>
          <t>AC-05 / AW_AGCY_010</t>
        </is>
      </c>
      <c r="G3" s="63" t="inlineStr">
        <is>
          <t>Check filter theo kỳ tháng cập nhật đúng dữ liệu doanh thu tương ứng</t>
        </is>
      </c>
      <c r="H3" s="71" t="inlineStr">
        <is>
          <t>System Admin đã đăng nhập (E03). Có dữ liệu tháng 08/2026 và tháng 09/2026.</t>
        </is>
      </c>
      <c r="I3" s="71" t="inlineStr">
        <is>
          <t>1. Truy cập AW_AGCY_010
2. Chọn bộ lọc kỳ tháng = 08/2026
3. Nhấn áp dụng hoặc chờ tự load</t>
        </is>
      </c>
      <c r="J3" s="70" t="inlineStr">
        <is>
          <t>- Bảng cập nhật hiển thị doanh thu tháng 08/2026 (khác tháng 09/2026)
- AG001 hiển thị doanh thu đúng với tháng 08/2026
- Label bộ lọc hiển thị "08/2026"</t>
        </is>
      </c>
      <c r="K3" s="70" t="inlineStr">
        <is>
          <t>Tháng 08/2026: AG001 tổng 420,000¥; AG002 tổng 310,000¥</t>
        </is>
      </c>
      <c r="L3" s="70" t="inlineStr">
        <is>
          <t>High</t>
        </is>
      </c>
      <c r="M3" s="65" t="n"/>
      <c r="N3" s="66" t="n"/>
      <c r="O3" s="81" t="n"/>
      <c r="P3" s="70" t="n"/>
      <c r="Q3" s="65" t="n"/>
      <c r="R3" s="66" t="n"/>
      <c r="S3" s="81" t="n"/>
      <c r="T3" s="70" t="n"/>
      <c r="U3" s="70" t="n"/>
      <c r="V3" s="70" t="n"/>
      <c r="W3" s="70" t="inlineStr">
        <is>
          <t>—</t>
        </is>
      </c>
      <c r="X3" s="68" t="n"/>
      <c r="Y3" s="68" t="n"/>
      <c r="Z3" s="68" t="n"/>
      <c r="AA3" s="68" t="n"/>
      <c r="AB3" s="68" t="n"/>
      <c r="AC3" s="68" t="n"/>
      <c r="AD3" s="68" t="n"/>
      <c r="AE3" s="68" t="n"/>
      <c r="AF3" s="68" t="n"/>
      <c r="AG3" s="68" t="n"/>
      <c r="AH3" s="68" t="n"/>
      <c r="AI3" s="68" t="n"/>
      <c r="AJ3" s="69" t="n"/>
    </row>
    <row r="4">
      <c r="A4" s="59">
        <f>row()-2</f>
        <v/>
      </c>
      <c r="B4" s="60" t="inlineStr">
        <is>
          <t>TC_AGCY_FEE_003</t>
        </is>
      </c>
      <c r="C4" s="71" t="inlineStr">
        <is>
          <t>AW_AGCY_010 — Filter kỳ quý</t>
        </is>
      </c>
      <c r="D4" s="63" t="inlineStr">
        <is>
          <t>Functional</t>
        </is>
      </c>
      <c r="E4" s="63" t="inlineStr">
        <is>
          <t>High</t>
        </is>
      </c>
      <c r="F4" s="63" t="inlineStr">
        <is>
          <t>AC-05 / AW_AGCY_010</t>
        </is>
      </c>
      <c r="G4" s="63" t="inlineStr">
        <is>
          <t>Check filter theo kỳ quý tổng hợp đúng doanh thu 3 tháng</t>
        </is>
      </c>
      <c r="H4" s="63" t="inlineStr">
        <is>
          <t>System Admin đã đăng nhập (E03). Có dữ liệu Q3/2026 (07, 08, 09/2026).</t>
        </is>
      </c>
      <c r="I4" s="71" t="inlineStr">
        <is>
          <t>1. Truy cập AW_AGCY_010
2. Chọn bộ lọc kỳ = Q3/2026
3. Nhấn áp dụng</t>
        </is>
      </c>
      <c r="J4" s="70" t="inlineStr">
        <is>
          <t>- Bảng hiển thị tổng doanh thu 3 tháng (07+08+09/2026) cho từng đại lý
- AG001: tổng Q3 = doanh thu 07 + 08 + 09/2026
- Label bộ lọc hiển thị "Q3/2026"</t>
        </is>
      </c>
      <c r="K4" s="70" t="inlineStr">
        <is>
          <t>AG001 tháng 07=580,000¥; 08=420,000¥; 09=650,000¥ → tổng Q3=1,650,000¥</t>
        </is>
      </c>
      <c r="L4" s="70" t="inlineStr">
        <is>
          <t>High</t>
        </is>
      </c>
      <c r="M4" s="65" t="n"/>
      <c r="N4" s="66" t="n"/>
      <c r="O4" s="81" t="n"/>
      <c r="P4" s="70" t="n"/>
      <c r="Q4" s="65" t="n"/>
      <c r="R4" s="66" t="n"/>
      <c r="S4" s="81" t="n"/>
      <c r="T4" s="70" t="n"/>
      <c r="U4" s="70" t="n"/>
      <c r="V4" s="70" t="n"/>
      <c r="W4" s="70" t="inlineStr">
        <is>
          <t>—</t>
        </is>
      </c>
      <c r="X4" s="68" t="n"/>
      <c r="Y4" s="68" t="n"/>
      <c r="Z4" s="68" t="n"/>
      <c r="AA4" s="68" t="n"/>
      <c r="AB4" s="68" t="n"/>
      <c r="AC4" s="68" t="n"/>
      <c r="AD4" s="68" t="n"/>
      <c r="AE4" s="68" t="n"/>
      <c r="AF4" s="68" t="n"/>
      <c r="AG4" s="68" t="n"/>
      <c r="AH4" s="68" t="n"/>
      <c r="AI4" s="68" t="n"/>
      <c r="AJ4" s="69" t="n"/>
    </row>
    <row r="5">
      <c r="A5" s="59">
        <f>row()-2</f>
        <v/>
      </c>
      <c r="B5" s="60" t="inlineStr">
        <is>
          <t>TC_AGCY_FEE_004</t>
        </is>
      </c>
      <c r="C5" s="71" t="inlineStr">
        <is>
          <t>AW_AGCY_010 — Đại lý doanh thu bằng 0</t>
        </is>
      </c>
      <c r="D5" s="63" t="inlineStr">
        <is>
          <t>Functional</t>
        </is>
      </c>
      <c r="E5" s="63" t="inlineStr">
        <is>
          <t>Medium</t>
        </is>
      </c>
      <c r="F5" s="63" t="inlineStr">
        <is>
          <t>AC-05 / AW_AGCY_010 / AF-04</t>
        </is>
      </c>
      <c r="G5" s="63" t="inlineStr">
        <is>
          <t>Check đại lý không có đơn hàng trong kỳ vẫn xuất hiện trong bảng doanh số với giá trị 0</t>
        </is>
      </c>
      <c r="H5" s="71" t="inlineStr">
        <is>
          <t>System Admin đã đăng nhập (E03). AG003 active, không có đơn hàng nào tháng 09/2026.</t>
        </is>
      </c>
      <c r="I5" s="71" t="inlineStr">
        <is>
          <t>1. Truy cập AW_AGCY_010
2. Filter kỳ = 09/2026</t>
        </is>
      </c>
      <c r="J5" s="70" t="inlineStr">
        <is>
          <t>- Hàng AG003 "テスト株式会社" XUẤT HIỆN trong bảng
- Giá trị doanh thu hiển thị 0¥ (không ẩn hàng, không lỗi)</t>
        </is>
      </c>
      <c r="K5" s="70" t="inlineStr">
        <is>
          <t>AG003 ID=AGC-003: active, 0 đơn hàng tháng 09/2026</t>
        </is>
      </c>
      <c r="L5" s="70" t="inlineStr">
        <is>
          <t>Medium</t>
        </is>
      </c>
      <c r="M5" s="65" t="n"/>
      <c r="N5" s="66" t="n"/>
      <c r="O5" s="81" t="n"/>
      <c r="P5" s="70" t="n"/>
      <c r="Q5" s="65" t="n"/>
      <c r="R5" s="66" t="n"/>
      <c r="S5" s="81" t="n"/>
      <c r="T5" s="70" t="n"/>
      <c r="U5" s="70" t="n"/>
      <c r="V5" s="70" t="n"/>
      <c r="W5" s="70" t="inlineStr">
        <is>
          <t>AF-04</t>
        </is>
      </c>
      <c r="X5" s="68" t="n"/>
      <c r="Y5" s="68" t="n"/>
      <c r="Z5" s="68" t="n"/>
      <c r="AA5" s="68" t="n"/>
      <c r="AB5" s="68" t="n"/>
      <c r="AC5" s="68" t="n"/>
      <c r="AD5" s="68" t="n"/>
      <c r="AE5" s="68" t="n"/>
      <c r="AF5" s="68" t="n"/>
      <c r="AG5" s="68" t="n"/>
      <c r="AH5" s="68" t="n"/>
      <c r="AI5" s="68" t="n"/>
      <c r="AJ5" s="69" t="n"/>
    </row>
    <row r="6">
      <c r="A6" s="59">
        <f>row()-2</f>
        <v/>
      </c>
      <c r="B6" s="60" t="inlineStr">
        <is>
          <t>TC_AGCY_FEE_005</t>
        </is>
      </c>
      <c r="C6" s="71" t="inlineStr">
        <is>
          <t>AW_AGCY_010 — Kỳ không có dữ liệu</t>
        </is>
      </c>
      <c r="D6" s="63" t="inlineStr">
        <is>
          <t>Negative</t>
        </is>
      </c>
      <c r="E6" s="63" t="inlineStr">
        <is>
          <t>Low</t>
        </is>
      </c>
      <c r="F6" s="63" t="inlineStr">
        <is>
          <t>AC-05 / AW_AGCY_010</t>
        </is>
      </c>
      <c r="G6" s="63" t="inlineStr">
        <is>
          <t>Check hiển thị khi filter kỳ không có bất kỳ dữ liệu doanh thu nào</t>
        </is>
      </c>
      <c r="H6" s="71" t="inlineStr">
        <is>
          <t>System Admin đã đăng nhập (E03). Không có đơn hàng nào trong tháng 01/2020.</t>
        </is>
      </c>
      <c r="I6" s="71" t="inlineStr">
        <is>
          <t>1. Truy cập AW_AGCY_010
2. Filter kỳ = 01/2020
3. Nhấn áp dụng</t>
        </is>
      </c>
      <c r="J6" s="70" t="inlineStr">
        <is>
          <t>- Bảng hiển thị empty state "Không có dữ liệu" HOẶC hiển thị tất cả giá trị = 0¥
- Không crash, không lỗi 500</t>
        </is>
      </c>
      <c r="K6" s="70" t="inlineStr">
        <is>
          <t>Filter: tháng 01/2020</t>
        </is>
      </c>
      <c r="L6" s="70" t="inlineStr">
        <is>
          <t>Low</t>
        </is>
      </c>
      <c r="M6" s="65" t="n"/>
      <c r="N6" s="66" t="n"/>
      <c r="O6" s="81" t="n"/>
      <c r="P6" s="70" t="n"/>
      <c r="Q6" s="65" t="n"/>
      <c r="R6" s="66" t="n"/>
      <c r="S6" s="81" t="n"/>
      <c r="T6" s="70" t="n"/>
      <c r="U6" s="70" t="n"/>
      <c r="V6" s="70" t="n"/>
      <c r="W6" s="70" t="inlineStr">
        <is>
          <t>⚠️ Cần BA confirm: empty state hiển thị thông báo hay vẫn hiển thị tên đại lý với giá trị 0?</t>
        </is>
      </c>
      <c r="X6" s="68" t="n"/>
      <c r="Y6" s="68" t="n"/>
      <c r="Z6" s="68" t="n"/>
      <c r="AA6" s="68" t="n"/>
      <c r="AB6" s="68" t="n"/>
      <c r="AC6" s="68" t="n"/>
      <c r="AD6" s="68" t="n"/>
      <c r="AE6" s="68" t="n"/>
      <c r="AF6" s="68" t="n"/>
      <c r="AG6" s="68" t="n"/>
      <c r="AH6" s="68" t="n"/>
      <c r="AI6" s="68" t="n"/>
      <c r="AJ6" s="69" t="n"/>
    </row>
    <row r="7">
      <c r="A7" s="59">
        <f>row()-2</f>
        <v/>
      </c>
      <c r="B7" s="60" t="inlineStr">
        <is>
          <t>TC_AGCY_FEE_006</t>
        </is>
      </c>
      <c r="C7" s="71" t="inlineStr">
        <is>
          <t>AW_AGCY_011 — Hiển thị danh sách fee</t>
        </is>
      </c>
      <c r="D7" s="63" t="inlineStr">
        <is>
          <t>Functional</t>
        </is>
      </c>
      <c r="E7" s="63" t="inlineStr">
        <is>
          <t>High</t>
        </is>
      </c>
      <c r="F7" s="63" t="inlineStr">
        <is>
          <t>AC-06 / AW_AGCY_011</t>
        </is>
      </c>
      <c r="G7" s="63" t="inlineStr">
        <is>
          <t>Check danh sách thanh toán hoa hồng hiển thị đầy đủ thông tin cần thiết</t>
        </is>
      </c>
      <c r="H7" s="63" t="inlineStr">
        <is>
          <t>System Admin đã đăng nhập (E03). Có 2 bản ghi fee: AGC-001 tháng 09/2026 số tiền 65,000¥ trạng thái Chưa thanh toán; AGC-002 tháng 09/2026 số tiền 50,000¥ trạng thái Đã thanh toán ngày chuyển 2026-09-15.</t>
        </is>
      </c>
      <c r="I7" s="71" t="inlineStr">
        <is>
          <t>1. Truy cập màn hình AW_AGCY_011 "Danh sách Thanh toán Hoa hồng"</t>
        </is>
      </c>
      <c r="J7" s="70" t="inlineStr">
        <is>
          <t>- Hiển thị 2 bản ghi
- AGC-001: tên đại lý "株式会社エクセレント", tháng 09/2026, 65,000¥, Chưa thanh toán, ngày chuyển trống
- AGC-002: tên đại lý "株式会社フード", tháng 09/2026, 50,000¥, Đã thanh toán, ngày chuyển 2026-09-15
- Có nút Tải CSV hiển thị</t>
        </is>
      </c>
      <c r="K7" s="70" t="inlineStr">
        <is>
          <t>AGC-001: FEE-202609-001 (65,000¥, Chưa thanh toán)
AGC-002: FEE-202609-002 (50,000¥, Đã thanh toán, 2026-09-15)</t>
        </is>
      </c>
      <c r="L7" s="70" t="inlineStr">
        <is>
          <t>Critical</t>
        </is>
      </c>
      <c r="M7" s="65" t="n"/>
      <c r="N7" s="66" t="n"/>
      <c r="O7" s="81" t="n"/>
      <c r="P7" s="70" t="n"/>
      <c r="Q7" s="65" t="n"/>
      <c r="R7" s="66" t="n"/>
      <c r="S7" s="81" t="n"/>
      <c r="T7" s="70" t="n"/>
      <c r="U7" s="70" t="n"/>
      <c r="V7" s="70" t="n"/>
      <c r="W7" s="70" t="inlineStr">
        <is>
          <t>—</t>
        </is>
      </c>
      <c r="X7" s="68" t="n"/>
      <c r="Y7" s="68" t="n"/>
      <c r="Z7" s="68" t="n"/>
      <c r="AA7" s="68" t="n"/>
      <c r="AB7" s="68" t="n"/>
      <c r="AC7" s="68" t="n"/>
      <c r="AD7" s="68" t="n"/>
      <c r="AE7" s="68" t="n"/>
      <c r="AF7" s="68" t="n"/>
      <c r="AG7" s="68" t="n"/>
      <c r="AH7" s="68" t="n"/>
      <c r="AI7" s="68" t="n"/>
      <c r="AJ7" s="69" t="n"/>
    </row>
    <row r="8">
      <c r="A8" s="59">
        <f>row()-2</f>
        <v/>
      </c>
      <c r="B8" s="60" t="inlineStr">
        <is>
          <t>TC_AGCY_FEE_007</t>
        </is>
      </c>
      <c r="C8" s="71" t="inlineStr">
        <is>
          <t>AW_AGCY_011 — Filter trạng thái Chưa thanh toán</t>
        </is>
      </c>
      <c r="D8" s="63" t="inlineStr">
        <is>
          <t>Functional</t>
        </is>
      </c>
      <c r="E8" s="63" t="inlineStr">
        <is>
          <t>High</t>
        </is>
      </c>
      <c r="F8" s="63" t="inlineStr">
        <is>
          <t>AC-06 / AW_AGCY_011</t>
        </is>
      </c>
      <c r="G8" s="63" t="inlineStr">
        <is>
          <t>Check filter theo trạng thái Chưa thanh toán chỉ hiển thị bản ghi chưa thanh toán</t>
        </is>
      </c>
      <c r="H8" s="71" t="inlineStr">
        <is>
          <t>System Admin đã đăng nhập (E03). Danh sách có cả bản ghi Chưa thanh toán và Đã thanh toán.</t>
        </is>
      </c>
      <c r="I8" s="71" t="inlineStr">
        <is>
          <t>1. Truy cập AW_AGCY_011
2. Chọn bộ lọc trạng thái = Chưa thanh toán
3. Nhấn áp dụng</t>
        </is>
      </c>
      <c r="J8" s="70" t="inlineStr">
        <is>
          <t>- Chỉ hiển thị bản ghi AGC-001 (Chưa thanh toán)
- Bản ghi AGC-002 (Đã thanh toán) bị ẩn
- Số lượng bản ghi hiển thị = số bản ghi Chưa thanh toán</t>
        </is>
      </c>
      <c r="K8" s="70" t="inlineStr">
        <is>
          <t>Dùng dữ liệu TC_AGCY_FEE_006</t>
        </is>
      </c>
      <c r="L8" s="70" t="inlineStr">
        <is>
          <t>High</t>
        </is>
      </c>
      <c r="M8" s="65" t="n"/>
      <c r="N8" s="66" t="n"/>
      <c r="O8" s="81" t="n"/>
      <c r="P8" s="70" t="n"/>
      <c r="Q8" s="65" t="n"/>
      <c r="R8" s="66" t="n"/>
      <c r="S8" s="81" t="n"/>
      <c r="T8" s="70" t="n"/>
      <c r="U8" s="70" t="n"/>
      <c r="V8" s="70" t="n"/>
      <c r="W8" s="70" t="inlineStr">
        <is>
          <t>—</t>
        </is>
      </c>
      <c r="X8" s="68" t="n"/>
      <c r="Y8" s="68" t="n"/>
      <c r="Z8" s="68" t="n"/>
      <c r="AA8" s="68" t="n"/>
      <c r="AB8" s="68" t="n"/>
      <c r="AC8" s="68" t="n"/>
      <c r="AD8" s="68" t="n"/>
      <c r="AE8" s="68" t="n"/>
      <c r="AF8" s="68" t="n"/>
      <c r="AG8" s="68" t="n"/>
      <c r="AH8" s="68" t="n"/>
      <c r="AI8" s="68" t="n"/>
      <c r="AJ8" s="69" t="n"/>
    </row>
    <row r="9">
      <c r="A9" s="59">
        <f>row()-2</f>
        <v/>
      </c>
      <c r="B9" s="60" t="inlineStr">
        <is>
          <t>TC_AGCY_FEE_008</t>
        </is>
      </c>
      <c r="C9" s="71" t="inlineStr">
        <is>
          <t>AW_AGCY_011 — Filter trạng thái Đã thanh toán</t>
        </is>
      </c>
      <c r="D9" s="63" t="inlineStr">
        <is>
          <t>Functional</t>
        </is>
      </c>
      <c r="E9" s="63" t="inlineStr">
        <is>
          <t>High</t>
        </is>
      </c>
      <c r="F9" s="63" t="inlineStr">
        <is>
          <t>AC-06 / AW_AGCY_011</t>
        </is>
      </c>
      <c r="G9" s="63" t="inlineStr">
        <is>
          <t>Check filter theo trạng thái Đã thanh toán chỉ hiển thị bản ghi đã thanh toán</t>
        </is>
      </c>
      <c r="H9" s="71" t="inlineStr">
        <is>
          <t>System Admin đã đăng nhập (E03). Danh sách có cả 2 loại trạng thái.</t>
        </is>
      </c>
      <c r="I9" s="63" t="inlineStr">
        <is>
          <t>1. Truy cập AW_AGCY_011
2. Chọn bộ lọc trạng thái = Đã thanh toán
3. Nhấn áp dụng</t>
        </is>
      </c>
      <c r="J9" s="70" t="inlineStr">
        <is>
          <t>- Chỉ hiển thị bản ghi AGC-002 (Đã thanh toán)
- Bản ghi AGC-001 (Chưa thanh toán) bị ẩn
- Ngày chuyển 2026-09-15 hiển thị đúng</t>
        </is>
      </c>
      <c r="K9" s="70" t="inlineStr">
        <is>
          <t>Dùng dữ liệu TC_AGCY_FEE_006</t>
        </is>
      </c>
      <c r="L9" s="70" t="inlineStr">
        <is>
          <t>High</t>
        </is>
      </c>
      <c r="M9" s="65" t="n"/>
      <c r="N9" s="66" t="n"/>
      <c r="O9" s="81" t="n"/>
      <c r="P9" s="70" t="n"/>
      <c r="Q9" s="65" t="n"/>
      <c r="R9" s="66" t="n"/>
      <c r="S9" s="81" t="n"/>
      <c r="T9" s="70" t="n"/>
      <c r="U9" s="70" t="n"/>
      <c r="V9" s="70" t="n"/>
      <c r="W9" s="70" t="inlineStr">
        <is>
          <t>—</t>
        </is>
      </c>
      <c r="X9" s="68" t="n"/>
      <c r="Y9" s="68" t="n"/>
      <c r="Z9" s="68" t="n"/>
      <c r="AA9" s="68" t="n"/>
      <c r="AB9" s="68" t="n"/>
      <c r="AC9" s="68" t="n"/>
      <c r="AD9" s="68" t="n"/>
      <c r="AE9" s="68" t="n"/>
      <c r="AF9" s="68" t="n"/>
      <c r="AG9" s="68" t="n"/>
      <c r="AH9" s="68" t="n"/>
      <c r="AI9" s="68" t="n"/>
      <c r="AJ9" s="69" t="n"/>
    </row>
    <row r="10">
      <c r="A10" s="59">
        <f>row()-2</f>
        <v/>
      </c>
      <c r="B10" s="60" t="inlineStr">
        <is>
          <t>TC_AGCY_FEE_009</t>
        </is>
      </c>
      <c r="C10" s="71" t="inlineStr">
        <is>
          <t>AW_AGCY_011 — Filter theo đại lý</t>
        </is>
      </c>
      <c r="D10" s="63" t="inlineStr">
        <is>
          <t>Functional</t>
        </is>
      </c>
      <c r="E10" s="63" t="inlineStr">
        <is>
          <t>High</t>
        </is>
      </c>
      <c r="F10" s="63" t="inlineStr">
        <is>
          <t>AC-06 / AW_AGCY_011</t>
        </is>
      </c>
      <c r="G10" s="63" t="inlineStr">
        <is>
          <t>Check filter theo tên đại lý cụ thể chỉ hiển thị bản ghi của đại lý đó</t>
        </is>
      </c>
      <c r="H10" s="71" t="inlineStr">
        <is>
          <t>System Admin đã đăng nhập (E03). Có bản ghi fee của AGC-001 và AGC-002 các tháng khác nhau.</t>
        </is>
      </c>
      <c r="I10" s="63" t="inlineStr">
        <is>
          <t>1. Truy cập AW_AGCY_011
2. Chọn bộ lọc đại lý = AGC-001 "株式会社エクセレント"
3. Nhấn áp dụng</t>
        </is>
      </c>
      <c r="J10" s="70" t="inlineStr">
        <is>
          <t>- Chỉ hiển thị tất cả bản ghi thuộc AGC-001 (có thể nhiều tháng)
- Không hiển thị bản ghi của AGC-002
- Tên đại lý trong mỗi hàng là "株式会社エクセレント"</t>
        </is>
      </c>
      <c r="K10" s="70" t="inlineStr">
        <is>
          <t>AGC-001: 3 bản ghi (07/2026, 08/2026, 09/2026)
AGC-002: 2 bản ghi (08/2026, 09/2026)</t>
        </is>
      </c>
      <c r="L10" s="70" t="inlineStr">
        <is>
          <t>High</t>
        </is>
      </c>
      <c r="M10" s="65" t="n"/>
      <c r="N10" s="66" t="n"/>
      <c r="O10" s="81" t="n"/>
      <c r="P10" s="70" t="n"/>
      <c r="Q10" s="65" t="n"/>
      <c r="R10" s="66" t="n"/>
      <c r="S10" s="81" t="n"/>
      <c r="T10" s="70" t="n"/>
      <c r="U10" s="70" t="n"/>
      <c r="V10" s="70" t="n"/>
      <c r="W10" s="70" t="inlineStr">
        <is>
          <t>—</t>
        </is>
      </c>
      <c r="X10" s="68" t="n"/>
      <c r="Y10" s="68" t="n"/>
      <c r="Z10" s="68" t="n"/>
      <c r="AA10" s="68" t="n"/>
      <c r="AB10" s="68" t="n"/>
      <c r="AC10" s="68" t="n"/>
      <c r="AD10" s="68" t="n"/>
      <c r="AE10" s="68" t="n"/>
      <c r="AF10" s="68" t="n"/>
      <c r="AG10" s="68" t="n"/>
      <c r="AH10" s="68" t="n"/>
      <c r="AI10" s="68" t="n"/>
      <c r="AJ10" s="69" t="n"/>
    </row>
    <row r="11">
      <c r="A11" s="59">
        <f>row()-2</f>
        <v/>
      </c>
      <c r="B11" s="60" t="inlineStr">
        <is>
          <t>TC_AGCY_FEE_010</t>
        </is>
      </c>
      <c r="C11" s="71" t="inlineStr">
        <is>
          <t>AW_AGCY_011 — Filter kết hợp đại lý và trạng thái</t>
        </is>
      </c>
      <c r="D11" s="63" t="inlineStr">
        <is>
          <t>Functional</t>
        </is>
      </c>
      <c r="E11" s="63" t="inlineStr">
        <is>
          <t>Medium</t>
        </is>
      </c>
      <c r="F11" s="63" t="inlineStr">
        <is>
          <t>AC-06 / AW_AGCY_011</t>
        </is>
      </c>
      <c r="G11" s="63" t="inlineStr">
        <is>
          <t>Check filter kết hợp đại lý và trạng thái thu hẹp đúng kết quả</t>
        </is>
      </c>
      <c r="H11" s="71" t="inlineStr">
        <is>
          <t>System Admin đã đăng nhập (E03). AGC-001 có 3 bản ghi: 07/2026 Đã thanh toán, 08/2026 Đã thanh toán, 09/2026 Chưa thanh toán.</t>
        </is>
      </c>
      <c r="I11" s="63" t="inlineStr">
        <is>
          <t>1. Truy cập AW_AGCY_011
2. Chọn filter đại lý = AGC-001
3. Chọn filter trạng thái = Chưa thanh toán
4. Nhấn áp dụng</t>
        </is>
      </c>
      <c r="J11" s="70" t="inlineStr">
        <is>
          <t>- Chỉ hiển thị 1 bản ghi: AGC-001 tháng 09/2026 Chưa thanh toán
- Không hiển thị bản ghi 07 và 08/2026 của AGC-001</t>
        </is>
      </c>
      <c r="K11" s="70" t="inlineStr">
        <is>
          <t>AGC-001: fee-07/2026 Đã TT, fee-08/2026 Đã TT, fee-09/2026 Chưa TT</t>
        </is>
      </c>
      <c r="L11" s="70" t="inlineStr">
        <is>
          <t>Medium</t>
        </is>
      </c>
      <c r="M11" s="65" t="n"/>
      <c r="N11" s="66" t="n"/>
      <c r="O11" s="81" t="n"/>
      <c r="P11" s="70" t="n"/>
      <c r="Q11" s="65" t="n"/>
      <c r="R11" s="66" t="n"/>
      <c r="S11" s="81" t="n"/>
      <c r="T11" s="70" t="n"/>
      <c r="U11" s="70" t="n"/>
      <c r="V11" s="70" t="n"/>
      <c r="W11" s="70" t="inlineStr">
        <is>
          <t>—</t>
        </is>
      </c>
      <c r="X11" s="68" t="n"/>
      <c r="Y11" s="68" t="n"/>
      <c r="Z11" s="68" t="n"/>
      <c r="AA11" s="68" t="n"/>
      <c r="AB11" s="68" t="n"/>
      <c r="AC11" s="68" t="n"/>
      <c r="AD11" s="68" t="n"/>
      <c r="AE11" s="68" t="n"/>
      <c r="AF11" s="68" t="n"/>
      <c r="AG11" s="68" t="n"/>
      <c r="AH11" s="68" t="n"/>
      <c r="AI11" s="68" t="n"/>
      <c r="AJ11" s="69" t="n"/>
    </row>
    <row r="12">
      <c r="A12" s="59">
        <f>row()-2</f>
        <v/>
      </c>
      <c r="B12" s="60" t="inlineStr">
        <is>
          <t>TC_AGCY_FEE_011</t>
        </is>
      </c>
      <c r="C12" s="71" t="inlineStr">
        <is>
          <t>AW_AGCY_011 — Empty state khi filter không có kết quả</t>
        </is>
      </c>
      <c r="D12" s="63" t="inlineStr">
        <is>
          <t>Negative</t>
        </is>
      </c>
      <c r="E12" s="63" t="inlineStr">
        <is>
          <t>Low</t>
        </is>
      </c>
      <c r="F12" s="63" t="inlineStr">
        <is>
          <t>AC-06 / AW_AGCY_011</t>
        </is>
      </c>
      <c r="G12" s="63" t="inlineStr">
        <is>
          <t>Check màn hình hiển thị empty state khi filter không trả về bản ghi nào</t>
        </is>
      </c>
      <c r="H12" s="71" t="inlineStr">
        <is>
          <t>System Admin đã đăng nhập (E03). AGC-003 chưa bao giờ có bản ghi fee.</t>
        </is>
      </c>
      <c r="I12" s="63" t="inlineStr">
        <is>
          <t>1. Truy cập AW_AGCY_011
2. Filter đại lý = AGC-003 "テスト株式会社"
3. Filter trạng thái = Đã thanh toán
4. Nhấn áp dụng</t>
        </is>
      </c>
      <c r="J12" s="70" t="inlineStr">
        <is>
          <t>- Bảng hiển thị empty state "Không có dữ liệu"
- Không crash, không lỗi
- Nút Tải CSV vẫn hiển thị (dù không có dữ liệu)</t>
        </is>
      </c>
      <c r="K12" s="70" t="inlineStr">
        <is>
          <t>AGC-003: không có bản ghi fee nào</t>
        </is>
      </c>
      <c r="L12" s="70" t="inlineStr">
        <is>
          <t>Low</t>
        </is>
      </c>
      <c r="M12" s="65" t="n"/>
      <c r="N12" s="66" t="n"/>
      <c r="O12" s="81" t="n"/>
      <c r="P12" s="70" t="n"/>
      <c r="Q12" s="65" t="n"/>
      <c r="R12" s="66" t="n"/>
      <c r="S12" s="81" t="n"/>
      <c r="T12" s="70" t="n"/>
      <c r="U12" s="70" t="n"/>
      <c r="V12" s="70" t="n"/>
      <c r="W12" s="70" t="inlineStr">
        <is>
          <t>—</t>
        </is>
      </c>
      <c r="X12" s="68" t="n"/>
      <c r="Y12" s="68" t="n"/>
      <c r="Z12" s="68" t="n"/>
      <c r="AA12" s="68" t="n"/>
      <c r="AB12" s="68" t="n"/>
      <c r="AC12" s="68" t="n"/>
      <c r="AD12" s="68" t="n"/>
      <c r="AE12" s="68" t="n"/>
      <c r="AF12" s="68" t="n"/>
      <c r="AG12" s="68" t="n"/>
      <c r="AH12" s="68" t="n"/>
      <c r="AI12" s="68" t="n"/>
      <c r="AJ12" s="69" t="n"/>
    </row>
    <row r="13">
      <c r="A13" s="59">
        <f>row()-2</f>
        <v/>
      </c>
      <c r="B13" s="60" t="inlineStr">
        <is>
          <t>TC_AGCY_FEE_012</t>
        </is>
      </c>
      <c r="C13" s="71" t="inlineStr">
        <is>
          <t>AW_AGCY_011 — Auto-generate Plan A</t>
        </is>
      </c>
      <c r="D13" s="63" t="inlineStr">
        <is>
          <t>Calculation</t>
        </is>
      </c>
      <c r="E13" s="63" t="inlineStr">
        <is>
          <t>High</t>
        </is>
      </c>
      <c r="F13" s="63" t="inlineStr">
        <is>
          <t>AC-07 / AW_AGCY_011</t>
        </is>
      </c>
      <c r="G13" s="63" t="inlineStr">
        <is>
          <t>Check tính hoa hồng đúng công thức Plan A — doanh thu tháng trước nhân tỷ lệ Plan A</t>
        </is>
      </c>
      <c r="H13" s="71" t="inlineStr">
        <is>
          <t>System Admin đã đăng nhập (E03). AGC-001 được cấu hình Plan A. Doanh thu AGC-001 tháng 08/2026 = 1,000,000¥. Chưa có bản ghi fee tháng 09/2026 cho AGC-001.</t>
        </is>
      </c>
      <c r="I13" s="63" t="inlineStr">
        <is>
          <t>1. Kích hoạt auto-generate dự toán hoa hồng tháng 09/2026
2. Truy cập AW_AGCY_011
3. Kiểm tra bản ghi AGC-001 tháng 09/2026</t>
        </is>
      </c>
      <c r="J13" s="70" t="inlineStr">
        <is>
          <t>- Bản ghi fee tháng 09/2026 cho AGC-001 được tạo
- Số tiền hoa hồng = 1,000,000 × Plan_A_rate (theo công thức SPEC)
- Trạng thái = Chưa thanh toán
- Ngày chuyển = trống</t>
        </is>
      </c>
      <c r="K13" s="70" t="inlineStr">
        <is>
          <t>AGC-001 Plan A; doanh thu 08/2026 = 1,000,000¥</t>
        </is>
      </c>
      <c r="L13" s="70" t="inlineStr">
        <is>
          <t>Critical</t>
        </is>
      </c>
      <c r="M13" s="65" t="n"/>
      <c r="N13" s="66" t="n"/>
      <c r="O13" s="81" t="n"/>
      <c r="P13" s="70" t="n"/>
      <c r="Q13" s="65" t="n"/>
      <c r="R13" s="66" t="n"/>
      <c r="S13" s="81" t="n"/>
      <c r="T13" s="70" t="n"/>
      <c r="U13" s="70" t="n"/>
      <c r="V13" s="70" t="n"/>
      <c r="W13" s="70" t="inlineStr">
        <is>
          <t>⚠️ Cần BA confirm: tỷ lệ % Plan A là bao nhiêu để tính expected value cụ thể. ⚠️ Cần BA confirm: trigger auto-generate là cron job tự động hay System Admin kích hoạt thủ công?</t>
        </is>
      </c>
      <c r="X13" s="68" t="n"/>
      <c r="Y13" s="68" t="n"/>
      <c r="Z13" s="68" t="n"/>
      <c r="AA13" s="68" t="n"/>
      <c r="AB13" s="68" t="n"/>
      <c r="AC13" s="68" t="n"/>
      <c r="AD13" s="68" t="n"/>
      <c r="AE13" s="68" t="n"/>
      <c r="AF13" s="68" t="n"/>
      <c r="AG13" s="68" t="n"/>
      <c r="AH13" s="68" t="n"/>
      <c r="AI13" s="68" t="n"/>
      <c r="AJ13" s="69" t="n"/>
    </row>
    <row r="14">
      <c r="A14" s="59">
        <f>row()-2</f>
        <v/>
      </c>
      <c r="B14" s="60" t="inlineStr">
        <is>
          <t>TC_AGCY_FEE_013</t>
        </is>
      </c>
      <c r="C14" s="71" t="inlineStr">
        <is>
          <t>AW_AGCY_011 — Auto-generate Plan B</t>
        </is>
      </c>
      <c r="D14" s="63" t="inlineStr">
        <is>
          <t>Calculation</t>
        </is>
      </c>
      <c r="E14" s="63" t="inlineStr">
        <is>
          <t>High</t>
        </is>
      </c>
      <c r="F14" s="63" t="inlineStr">
        <is>
          <t>AC-07 / AW_AGCY_011</t>
        </is>
      </c>
      <c r="G14" s="63" t="inlineStr">
        <is>
          <t>Check tính hoa hồng đúng công thức Plan B — doanh thu tháng trước nhân tỷ lệ Plan B</t>
        </is>
      </c>
      <c r="H14" s="71" t="inlineStr">
        <is>
          <t>System Admin đã đăng nhập (E03). AGC-002 được cấu hình Plan B. Doanh thu AGC-002 tháng 08/2026 = 800,000¥. Chưa có bản ghi fee tháng 09/2026 cho AGC-002.</t>
        </is>
      </c>
      <c r="I14" s="63" t="inlineStr">
        <is>
          <t>1. Kích hoạt auto-generate dự toán hoa hồng tháng 09/2026
2. Kiểm tra bản ghi AGC-002 tháng 09/2026</t>
        </is>
      </c>
      <c r="J14" s="70" t="inlineStr">
        <is>
          <t>- Bản ghi fee được tạo với số tiền = 800,000 × Plan_B_rate
- Số tiền KHÁC với TC_AGCY_FEE_012 (Plan B rate khác Plan A rate)
- Trạng thái = Chưa thanh toán</t>
        </is>
      </c>
      <c r="K14" s="70" t="inlineStr">
        <is>
          <t>AGC-002 Plan B; doanh thu 08/2026 = 800,000¥</t>
        </is>
      </c>
      <c r="L14" s="70" t="inlineStr">
        <is>
          <t>High</t>
        </is>
      </c>
      <c r="M14" s="65" t="n"/>
      <c r="N14" s="66" t="n"/>
      <c r="O14" s="81" t="n"/>
      <c r="P14" s="70" t="n"/>
      <c r="Q14" s="65" t="n"/>
      <c r="R14" s="66" t="n"/>
      <c r="S14" s="81" t="n"/>
      <c r="T14" s="70" t="n"/>
      <c r="U14" s="70" t="n"/>
      <c r="V14" s="70" t="n"/>
      <c r="W14" s="70" t="inlineStr">
        <is>
          <t>⚠️ Cần BA confirm: tỷ lệ % Plan B</t>
        </is>
      </c>
      <c r="X14" s="68" t="n"/>
      <c r="Y14" s="68" t="n"/>
      <c r="Z14" s="68" t="n"/>
      <c r="AA14" s="68" t="n"/>
      <c r="AB14" s="68" t="n"/>
      <c r="AC14" s="68" t="n"/>
      <c r="AD14" s="68" t="n"/>
      <c r="AE14" s="68" t="n"/>
      <c r="AF14" s="68" t="n"/>
      <c r="AG14" s="68" t="n"/>
      <c r="AH14" s="68" t="n"/>
      <c r="AI14" s="68" t="n"/>
      <c r="AJ14" s="69" t="n"/>
    </row>
    <row r="15">
      <c r="A15" s="59">
        <f>row()-2</f>
        <v/>
      </c>
      <c r="B15" s="60" t="inlineStr">
        <is>
          <t>TC_AGCY_FEE_014</t>
        </is>
      </c>
      <c r="C15" s="71" t="inlineStr">
        <is>
          <t>AW_AGCY_011 — Auto-generate Plan C</t>
        </is>
      </c>
      <c r="D15" s="63" t="inlineStr">
        <is>
          <t>Calculation</t>
        </is>
      </c>
      <c r="E15" s="63" t="inlineStr">
        <is>
          <t>High</t>
        </is>
      </c>
      <c r="F15" s="63" t="inlineStr">
        <is>
          <t>AC-07 / AW_AGCY_011</t>
        </is>
      </c>
      <c r="G15" s="63" t="inlineStr">
        <is>
          <t>Check tính hoa hồng đúng công thức Plan C — doanh thu tháng trước nhân tỷ lệ Plan C</t>
        </is>
      </c>
      <c r="H15" s="71" t="inlineStr">
        <is>
          <t>System Admin đã đăng nhập (E03). AGC-005 được cấu hình Plan C. Doanh thu AGC-005 tháng 08/2026 = 600,000¥. Chưa có bản ghi fee tháng 09/2026.</t>
        </is>
      </c>
      <c r="I15" s="63" t="inlineStr">
        <is>
          <t>1. Kích hoạt auto-generate tháng 09/2026
2. Kiểm tra bản ghi AGC-005 tháng 09/2026</t>
        </is>
      </c>
      <c r="J15" s="70" t="inlineStr">
        <is>
          <t>- Bản ghi fee được tạo với số tiền = 600,000 × Plan_C_rate
- Trạng thái = Chưa thanh toán</t>
        </is>
      </c>
      <c r="K15" s="70" t="inlineStr">
        <is>
          <t>AGC-005 Plan C; doanh thu 08/2026 = 600,000¥</t>
        </is>
      </c>
      <c r="L15" s="70" t="inlineStr">
        <is>
          <t>High</t>
        </is>
      </c>
      <c r="M15" s="65" t="n"/>
      <c r="N15" s="66" t="n"/>
      <c r="O15" s="81" t="n"/>
      <c r="P15" s="70" t="n"/>
      <c r="Q15" s="65" t="n"/>
      <c r="R15" s="66" t="n"/>
      <c r="S15" s="81" t="n"/>
      <c r="T15" s="70" t="n"/>
      <c r="U15" s="70" t="n"/>
      <c r="V15" s="70" t="n"/>
      <c r="W15" s="70" t="inlineStr">
        <is>
          <t>⚠️ Cần BA confirm: tỷ lệ % Plan C</t>
        </is>
      </c>
      <c r="X15" s="68" t="n"/>
      <c r="Y15" s="68" t="n"/>
      <c r="Z15" s="68" t="n"/>
      <c r="AA15" s="68" t="n"/>
      <c r="AB15" s="68" t="n"/>
      <c r="AC15" s="68" t="n"/>
      <c r="AD15" s="68" t="n"/>
      <c r="AE15" s="68" t="n"/>
      <c r="AF15" s="68" t="n"/>
      <c r="AG15" s="68" t="n"/>
      <c r="AH15" s="68" t="n"/>
      <c r="AI15" s="68" t="n"/>
      <c r="AJ15" s="69" t="n"/>
    </row>
    <row r="16">
      <c r="A16" s="59">
        <f>row()-2</f>
        <v/>
      </c>
      <c r="B16" s="60" t="inlineStr">
        <is>
          <t>TC_AGCY_FEE_015</t>
        </is>
      </c>
      <c r="C16" s="71" t="inlineStr">
        <is>
          <t>AW_AGCY_011 — Auto-generate Plan D</t>
        </is>
      </c>
      <c r="D16" s="63" t="inlineStr">
        <is>
          <t>Calculation</t>
        </is>
      </c>
      <c r="E16" s="63" t="inlineStr">
        <is>
          <t>High</t>
        </is>
      </c>
      <c r="F16" s="63" t="inlineStr">
        <is>
          <t>AC-07 / AW_AGCY_011</t>
        </is>
      </c>
      <c r="G16" s="63" t="inlineStr">
        <is>
          <t>Check tính hoa hồng đúng công thức Plan D — doanh thu tháng trước nhân tỷ lệ Plan D</t>
        </is>
      </c>
      <c r="H16" s="63" t="inlineStr">
        <is>
          <t>System Admin đã đăng nhập (E03). AGC-006 được cấu hình Plan D. Doanh thu AGC-006 tháng 08/2026 = 400,000¥. Chưa có bản ghi fee tháng 09/2026.</t>
        </is>
      </c>
      <c r="I16" s="63" t="inlineStr">
        <is>
          <t>1. Kích hoạt auto-generate tháng 09/2026
2. Kiểm tra bản ghi AGC-006 tháng 09/2026</t>
        </is>
      </c>
      <c r="J16" s="70" t="inlineStr">
        <is>
          <t>- Bản ghi fee được tạo với số tiền = 400,000 × Plan_D_rate
- Trạng thái = Chưa thanh toán</t>
        </is>
      </c>
      <c r="K16" s="70" t="inlineStr">
        <is>
          <t>AGC-006 Plan D; doanh thu 08/2026 = 400,000¥</t>
        </is>
      </c>
      <c r="L16" s="70" t="inlineStr">
        <is>
          <t>High</t>
        </is>
      </c>
      <c r="M16" s="65" t="n"/>
      <c r="N16" s="66" t="n"/>
      <c r="O16" s="81" t="n"/>
      <c r="P16" s="70" t="n"/>
      <c r="Q16" s="65" t="n"/>
      <c r="R16" s="66" t="n"/>
      <c r="S16" s="81" t="n"/>
      <c r="T16" s="70" t="n"/>
      <c r="U16" s="70" t="n"/>
      <c r="V16" s="70" t="n"/>
      <c r="W16" s="70" t="inlineStr">
        <is>
          <t>⚠️ Cần BA confirm: tỷ lệ % Plan D</t>
        </is>
      </c>
      <c r="X16" s="68" t="n"/>
      <c r="Y16" s="68" t="n"/>
      <c r="Z16" s="68" t="n"/>
      <c r="AA16" s="68" t="n"/>
      <c r="AB16" s="68" t="n"/>
      <c r="AC16" s="68" t="n"/>
      <c r="AD16" s="68" t="n"/>
      <c r="AE16" s="68" t="n"/>
      <c r="AF16" s="68" t="n"/>
      <c r="AG16" s="68" t="n"/>
      <c r="AH16" s="68" t="n"/>
      <c r="AI16" s="68" t="n"/>
      <c r="AJ16" s="69" t="n"/>
    </row>
    <row r="17">
      <c r="A17" s="59">
        <f>row()-2</f>
        <v/>
      </c>
      <c r="B17" s="60" t="inlineStr">
        <is>
          <t>TC_AGCY_FEE_016</t>
        </is>
      </c>
      <c r="C17" s="71" t="inlineStr">
        <is>
          <t>AW_AGCY_011 — Auto-generate đại lý doanh thu bằng 0</t>
        </is>
      </c>
      <c r="D17" s="63" t="inlineStr">
        <is>
          <t>Calculation</t>
        </is>
      </c>
      <c r="E17" s="63" t="inlineStr">
        <is>
          <t>High</t>
        </is>
      </c>
      <c r="F17" s="63" t="inlineStr">
        <is>
          <t>AC-07 / AW_AGCY_011 / AF-04</t>
        </is>
      </c>
      <c r="G17" s="63" t="inlineStr">
        <is>
          <t>Check đại lý không có doanh thu tháng trước vẫn được tạo bản ghi fee với số tiền bằng 0</t>
        </is>
      </c>
      <c r="H17" s="63" t="inlineStr">
        <is>
          <t>System Admin đã đăng nhập (E03). AGC-003 active Plan A. Doanh thu AGC-003 tháng 08/2026 = 0¥ (không có đơn hàng). Chưa có bản ghi fee tháng 09/2026.</t>
        </is>
      </c>
      <c r="I17" s="63" t="inlineStr">
        <is>
          <t>1. Kích hoạt auto-generate tháng 09/2026
2. Kiểm tra bản ghi AGC-003 tháng 09/2026</t>
        </is>
      </c>
      <c r="J17" s="70" t="inlineStr">
        <is>
          <t>- Bản ghi fee tháng 09/2026 cho AGC-003 ĐƯỢC TẠO (không bị bỏ qua)
- Số tiền hoa hồng = 0¥
- Trạng thái = Chưa thanh toán</t>
        </is>
      </c>
      <c r="K17" s="70" t="inlineStr">
        <is>
          <t>AGC-003 Plan A; doanh thu 08/2026 = 0¥</t>
        </is>
      </c>
      <c r="L17" s="70" t="inlineStr">
        <is>
          <t>Critical</t>
        </is>
      </c>
      <c r="M17" s="65" t="n"/>
      <c r="N17" s="66" t="n"/>
      <c r="O17" s="81" t="n"/>
      <c r="P17" s="70" t="n"/>
      <c r="Q17" s="65" t="n"/>
      <c r="R17" s="66" t="n"/>
      <c r="S17" s="81" t="n"/>
      <c r="T17" s="70" t="n"/>
      <c r="U17" s="81" t="n"/>
      <c r="V17" s="81" t="n"/>
      <c r="W17" s="81" t="inlineStr">
        <is>
          <t>AF-04</t>
        </is>
      </c>
      <c r="X17" s="68" t="n"/>
      <c r="Y17" s="68" t="n"/>
      <c r="Z17" s="68" t="n"/>
      <c r="AA17" s="68" t="n"/>
      <c r="AB17" s="68" t="n"/>
      <c r="AC17" s="68" t="n"/>
      <c r="AD17" s="68" t="n"/>
      <c r="AE17" s="68" t="n"/>
      <c r="AF17" s="68" t="n"/>
      <c r="AG17" s="68" t="n"/>
      <c r="AH17" s="68" t="n"/>
      <c r="AI17" s="68" t="n"/>
      <c r="AJ17" s="69" t="n"/>
    </row>
    <row r="18">
      <c r="A18" s="59">
        <f>row()-2</f>
        <v/>
      </c>
      <c r="B18" s="60" t="inlineStr">
        <is>
          <t>TC_AGCY_FEE_017</t>
        </is>
      </c>
      <c r="C18" s="71" t="inlineStr">
        <is>
          <t>AW_AGCY_011 — Auto-generate không tạo trùng khi chạy lại</t>
        </is>
      </c>
      <c r="D18" s="63" t="inlineStr">
        <is>
          <t>Functional</t>
        </is>
      </c>
      <c r="E18" s="63" t="inlineStr">
        <is>
          <t>High</t>
        </is>
      </c>
      <c r="F18" s="63" t="inlineStr">
        <is>
          <t>AC-07 / AW_AGCY_011</t>
        </is>
      </c>
      <c r="G18" s="63" t="inlineStr">
        <is>
          <t>Check auto-generate là idempotent — chạy lần 2 cùng tháng không tạo thêm bản ghi trùng</t>
        </is>
      </c>
      <c r="H18" s="63" t="inlineStr">
        <is>
          <t>System Admin đã đăng nhập (E03). Đã chạy auto-generate tháng 09/2026 và tạo bản ghi FEE-202609-001 cho AGC-001.</t>
        </is>
      </c>
      <c r="I18" s="63" t="inlineStr">
        <is>
          <t>1. Kích hoạt auto-generate tháng 09/2026 lần thứ 2
2. Kiểm tra số bản ghi AGC-001 tháng 09/2026</t>
        </is>
      </c>
      <c r="J18" s="70" t="inlineStr">
        <is>
          <t>- Số bản ghi AGC-001 tháng 09/2026 vẫn = 1 (không tạo thêm)
- Hệ thống hiển thị thông báo "Dự toán tháng này đã tồn tại" HOẶC bỏ qua im lặng
- Số tiền bản ghi cũ không bị thay đổi</t>
        </is>
      </c>
      <c r="K18" s="70" t="inlineStr">
        <is>
          <t>AGC-001: đã có FEE-202609-001 (65,000¥) trước khi chạy lần 2</t>
        </is>
      </c>
      <c r="L18" s="70" t="inlineStr">
        <is>
          <t>High</t>
        </is>
      </c>
      <c r="M18" s="65" t="n"/>
      <c r="N18" s="66" t="n"/>
      <c r="O18" s="81" t="n"/>
      <c r="P18" s="70" t="n"/>
      <c r="Q18" s="65" t="n"/>
      <c r="R18" s="66" t="n"/>
      <c r="S18" s="81" t="n"/>
      <c r="T18" s="70" t="n"/>
      <c r="U18" s="81" t="n"/>
      <c r="V18" s="81" t="n"/>
      <c r="W18" s="81" t="inlineStr">
        <is>
          <t>—</t>
        </is>
      </c>
      <c r="X18" s="68" t="n"/>
      <c r="Y18" s="68" t="n"/>
      <c r="Z18" s="68" t="n"/>
      <c r="AA18" s="68" t="n"/>
      <c r="AB18" s="68" t="n"/>
      <c r="AC18" s="68" t="n"/>
      <c r="AD18" s="68" t="n"/>
      <c r="AE18" s="68" t="n"/>
      <c r="AF18" s="68" t="n"/>
      <c r="AG18" s="68" t="n"/>
      <c r="AH18" s="68" t="n"/>
      <c r="AI18" s="68" t="n"/>
      <c r="AJ18" s="69" t="n"/>
    </row>
    <row r="19">
      <c r="A19" s="59">
        <f>row()-2</f>
        <v/>
      </c>
      <c r="B19" s="60" t="inlineStr">
        <is>
          <t>TC_AGCY_FEE_018</t>
        </is>
      </c>
      <c r="C19" s="71" t="inlineStr">
        <is>
          <t>AW_AGCY_011 — Auto-generate chỉ tạo cho đại lý active</t>
        </is>
      </c>
      <c r="D19" s="63" t="inlineStr">
        <is>
          <t>Functional</t>
        </is>
      </c>
      <c r="E19" s="63" t="inlineStr">
        <is>
          <t>High</t>
        </is>
      </c>
      <c r="F19" s="63" t="inlineStr">
        <is>
          <t>AC-07 / AW_AGCY_011</t>
        </is>
      </c>
      <c r="G19" s="63" t="inlineStr">
        <is>
          <t>Check auto-generate không tạo bản ghi fee cho đại lý đã hủy</t>
        </is>
      </c>
      <c r="H19" s="71" t="inlineStr">
        <is>
          <t>System Admin đã đăng nhập (E03). AGC-004 trạng thái "Đã hủy" từ 2026-08-01. AGC-001 và AGC-002 trạng thái "Đang chạy".</t>
        </is>
      </c>
      <c r="I19" s="63" t="inlineStr">
        <is>
          <t>1. Kích hoạt auto-generate tháng 09/2026
2. Tìm kiếm bản ghi fee tháng 09/2026 cho AGC-004</t>
        </is>
      </c>
      <c r="J19" s="70" t="inlineStr">
        <is>
          <t>- Bản ghi fee tháng 09/2026 KHÔNG được tạo cho AGC-004
- AGC-001 và AGC-002 vẫn có bản ghi được tạo bình thường</t>
        </is>
      </c>
      <c r="K19" s="70" t="inlineStr">
        <is>
          <t>AGC-004: đã hủy 2026-08-01; AGC-001 và AGC-002: active</t>
        </is>
      </c>
      <c r="L19" s="70" t="inlineStr">
        <is>
          <t>High</t>
        </is>
      </c>
      <c r="M19" s="65" t="n"/>
      <c r="N19" s="66" t="n"/>
      <c r="O19" s="81" t="n"/>
      <c r="P19" s="70" t="n"/>
      <c r="Q19" s="65" t="n"/>
      <c r="R19" s="66" t="n"/>
      <c r="S19" s="81" t="n"/>
      <c r="T19" s="70" t="n"/>
      <c r="U19" s="70" t="n"/>
      <c r="V19" s="70" t="n"/>
      <c r="W19" s="70" t="inlineStr">
        <is>
          <t>—</t>
        </is>
      </c>
      <c r="X19" s="68" t="n"/>
      <c r="Y19" s="68" t="n"/>
      <c r="Z19" s="68" t="n"/>
      <c r="AA19" s="68" t="n"/>
      <c r="AB19" s="68" t="n"/>
      <c r="AC19" s="68" t="n"/>
      <c r="AD19" s="68" t="n"/>
      <c r="AE19" s="68" t="n"/>
      <c r="AF19" s="68" t="n"/>
      <c r="AG19" s="68" t="n"/>
      <c r="AH19" s="68" t="n"/>
      <c r="AI19" s="68" t="n"/>
      <c r="AJ19" s="69" t="n"/>
    </row>
    <row r="20">
      <c r="A20" s="59">
        <f>row()-2</f>
        <v/>
      </c>
      <c r="B20" s="60" t="inlineStr">
        <is>
          <t>TC_AGCY_FEE_019</t>
        </is>
      </c>
      <c r="C20" s="71" t="inlineStr">
        <is>
          <t>AW_AGCY_011 — Đại lý hủy giữa tháng không hồi tố kỳ cũ</t>
        </is>
      </c>
      <c r="D20" s="63" t="inlineStr">
        <is>
          <t>Functional</t>
        </is>
      </c>
      <c r="E20" s="63" t="inlineStr">
        <is>
          <t>High</t>
        </is>
      </c>
      <c r="F20" s="63" t="inlineStr">
        <is>
          <t>AC-07 / AW_AGCY_011 / AF-08</t>
        </is>
      </c>
      <c r="G20" s="63" t="inlineStr">
        <is>
          <t>Check bản ghi fee của kỳ trước vẫn còn nguyên khi đại lý bị hủy sau đó</t>
        </is>
      </c>
      <c r="H20" s="71" t="inlineStr">
        <is>
          <t>System Admin đã đăng nhập (E03). AGC-004 đã có bản ghi fee tháng 08/2026 (tạo khi còn active). AGC-004 bị hủy ngày 2026-08-15.</t>
        </is>
      </c>
      <c r="I20" s="63" t="inlineStr">
        <is>
          <t>1. Truy cập AW_AGCY_011
2. Filter đại lý = AGC-004, tháng = 08/2026</t>
        </is>
      </c>
      <c r="J20" s="70" t="inlineStr">
        <is>
          <t>- Bản ghi fee tháng 08/2026 của AGC-004 VẪN TỒN TẠI
- Số tiền, trạng thái không bị thay đổi do việc hủy đại lý
- Không hồi tố (không xóa, không điều chỉnh về 0)</t>
        </is>
      </c>
      <c r="K20" s="70" t="inlineStr">
        <is>
          <t>AGC-004: đã có FEE-202608-004 (45,000¥, Chưa thanh toán); bị hủy 2026-08-15</t>
        </is>
      </c>
      <c r="L20" s="70" t="inlineStr">
        <is>
          <t>High</t>
        </is>
      </c>
      <c r="M20" s="65" t="n"/>
      <c r="N20" s="66" t="n"/>
      <c r="O20" s="81" t="n"/>
      <c r="P20" s="70" t="n"/>
      <c r="Q20" s="65" t="n"/>
      <c r="R20" s="66" t="n"/>
      <c r="S20" s="81" t="n"/>
      <c r="T20" s="70" t="n"/>
      <c r="U20" s="70" t="n"/>
      <c r="V20" s="70" t="n"/>
      <c r="W20" s="70" t="inlineStr">
        <is>
          <t>AF-08</t>
        </is>
      </c>
      <c r="X20" s="68" t="n"/>
      <c r="Y20" s="68" t="n"/>
      <c r="Z20" s="68" t="n"/>
      <c r="AA20" s="68" t="n"/>
      <c r="AB20" s="68" t="n"/>
      <c r="AC20" s="68" t="n"/>
      <c r="AD20" s="68" t="n"/>
      <c r="AE20" s="68" t="n"/>
      <c r="AF20" s="68" t="n"/>
      <c r="AG20" s="68" t="n"/>
      <c r="AH20" s="68" t="n"/>
      <c r="AI20" s="68" t="n"/>
      <c r="AJ20" s="69" t="n"/>
    </row>
    <row r="21">
      <c r="A21" s="59">
        <f>row()-2</f>
        <v/>
      </c>
      <c r="B21" s="60" t="inlineStr">
        <is>
          <t>TC_AGCY_FEE_020</t>
        </is>
      </c>
      <c r="C21" s="71" t="inlineStr">
        <is>
          <t>AW_AGCY_011 — Đại lý mới tạo giữa tháng</t>
        </is>
      </c>
      <c r="D21" s="63" t="inlineStr">
        <is>
          <t>Boundary</t>
        </is>
      </c>
      <c r="E21" s="63" t="inlineStr">
        <is>
          <t>Medium</t>
        </is>
      </c>
      <c r="F21" s="63" t="inlineStr">
        <is>
          <t>AC-07 / AW_AGCY_011</t>
        </is>
      </c>
      <c r="G21" s="63" t="inlineStr">
        <is>
          <t>Check dự toán hoa hồng tháng đầu tiên của đại lý mới tạo giữa tháng được tính dựa trên doanh thu từ ngày tạo đến hết tháng</t>
        </is>
      </c>
      <c r="H21" s="71" t="inlineStr">
        <is>
          <t>System Admin đã đăng nhập (E03). AGC-007 được tạo ngày 2026-08-20 Plan A. Doanh thu AGC-007 từ 20/08 đến 31/08/2026 = 500,000¥.</t>
        </is>
      </c>
      <c r="I21" s="63" t="inlineStr">
        <is>
          <t>1. Kích hoạt auto-generate tháng 09/2026
2. Kiểm tra bản ghi fee AGC-007 tháng 09/2026</t>
        </is>
      </c>
      <c r="J21" s="70" t="inlineStr">
        <is>
          <t>- Bản ghi fee tháng 09/2026 cho AGC-007 được tạo
- Số tiền tính dựa trên 500,000¥ (doanh thu từ ngày tạo đến hết tháng 08)
- Không tính doanh thu trước ngày 20/08 (không áp dụng cho thời điểm chưa có đại lý)</t>
        </is>
      </c>
      <c r="K21" s="70" t="inlineStr">
        <is>
          <t>AGC-007: tạo 2026-08-20, Plan A; doanh thu 20-31/08/2026 = 500,000¥</t>
        </is>
      </c>
      <c r="L21" s="70" t="inlineStr">
        <is>
          <t>Medium</t>
        </is>
      </c>
      <c r="M21" s="65" t="n"/>
      <c r="N21" s="66" t="n"/>
      <c r="O21" s="81" t="n"/>
      <c r="P21" s="70" t="n"/>
      <c r="Q21" s="65" t="n"/>
      <c r="R21" s="66" t="n"/>
      <c r="S21" s="81" t="n"/>
      <c r="T21" s="70" t="n"/>
      <c r="U21" s="70" t="n"/>
      <c r="V21" s="70" t="n"/>
      <c r="W21" s="70" t="inlineStr">
        <is>
          <t>⚠️ Cần BA confirm: đại lý tạo giữa tháng có tính doanh thu pro-rata hay tính toàn bộ tháng đó?</t>
        </is>
      </c>
      <c r="X21" s="68" t="n"/>
      <c r="Y21" s="68" t="n"/>
      <c r="Z21" s="68" t="n"/>
      <c r="AA21" s="68" t="n"/>
      <c r="AB21" s="68" t="n"/>
      <c r="AC21" s="68" t="n"/>
      <c r="AD21" s="68" t="n"/>
      <c r="AE21" s="68" t="n"/>
      <c r="AF21" s="68" t="n"/>
      <c r="AG21" s="68" t="n"/>
      <c r="AH21" s="68" t="n"/>
      <c r="AI21" s="68" t="n"/>
      <c r="AJ21" s="69" t="n"/>
    </row>
    <row r="22">
      <c r="A22" s="59">
        <f>row()-2</f>
        <v/>
      </c>
      <c r="B22" s="60" t="inlineStr">
        <is>
          <t>TC_AGCY_FEE_021</t>
        </is>
      </c>
      <c r="C22" s="71" t="inlineStr">
        <is>
          <t>AW_AGCY_011 — Làm tròn số tiền hoa hồng thập phân</t>
        </is>
      </c>
      <c r="D22" s="63" t="inlineStr">
        <is>
          <t>Calculation</t>
        </is>
      </c>
      <c r="E22" s="63" t="inlineStr">
        <is>
          <t>Medium</t>
        </is>
      </c>
      <c r="F22" s="63" t="inlineStr">
        <is>
          <t>AC-07 / AW_AGCY_011</t>
        </is>
      </c>
      <c r="G22" s="63" t="inlineStr">
        <is>
          <t>Check số tiền hoa hồng được làm tròn đúng quy tắc khi kết quả phép tính là số thập phân</t>
        </is>
      </c>
      <c r="H22" s="71" t="inlineStr">
        <is>
          <t>System Admin đã đăng nhập (E03). AGC-001 Plan A (tỷ lệ dẫn đến kết quả thập phân). Doanh thu tháng 08/2026 = 999,999¥.</t>
        </is>
      </c>
      <c r="I22" s="63" t="inlineStr">
        <is>
          <t>1. Kích hoạt auto-generate tháng 09/2026
2. Kiểm tra số tiền bản ghi fee AGC-001</t>
        </is>
      </c>
      <c r="J22" s="70" t="inlineStr">
        <is>
          <t>- Số tiền hoa hồng là số nguyên (không có phần thập phân)
- Quy tắc làm tròn nhất quán với tất cả bản ghi khác</t>
        </is>
      </c>
      <c r="K22" s="70" t="inlineStr">
        <is>
          <t>AGC-001: doanh thu 08/2026 = 999,999¥ (chọn để tạo ra kết quả thập phân khi nhân với rate)</t>
        </is>
      </c>
      <c r="L22" s="70" t="inlineStr">
        <is>
          <t>Medium</t>
        </is>
      </c>
      <c r="M22" s="65" t="n"/>
      <c r="N22" s="66" t="n"/>
      <c r="O22" s="81" t="n"/>
      <c r="P22" s="70" t="n"/>
      <c r="Q22" s="65" t="n"/>
      <c r="R22" s="66" t="n"/>
      <c r="S22" s="81" t="n"/>
      <c r="T22" s="70" t="n"/>
      <c r="U22" s="70" t="n"/>
      <c r="V22" s="70" t="n"/>
      <c r="W22" s="70" t="inlineStr">
        <is>
          <t>⚠️ Cần BA confirm: quy tắc làm tròn — floor (làm tròn xuống) hay round (làm tròn thường) hay ceiling (làm tròn lên)? Đơn vị tiền tệ: ¥ (nguyên) hay có thập phân?</t>
        </is>
      </c>
      <c r="X22" s="68" t="n"/>
      <c r="Y22" s="68" t="n"/>
      <c r="Z22" s="68" t="n"/>
      <c r="AA22" s="68" t="n"/>
      <c r="AB22" s="68" t="n"/>
      <c r="AC22" s="68" t="n"/>
      <c r="AD22" s="68" t="n"/>
      <c r="AE22" s="68" t="n"/>
      <c r="AF22" s="68" t="n"/>
      <c r="AG22" s="68" t="n"/>
      <c r="AH22" s="68" t="n"/>
      <c r="AI22" s="68" t="n"/>
      <c r="AJ22" s="69" t="n"/>
    </row>
    <row r="23">
      <c r="A23" s="59">
        <f>row()-2</f>
        <v/>
      </c>
      <c r="B23" s="60" t="inlineStr">
        <is>
          <t>TC_AGCY_FEE_022</t>
        </is>
      </c>
      <c r="C23" s="71" t="inlineStr">
        <is>
          <t>AW_AGCY_011 — Tải CSV đúng dữ liệu theo filter</t>
        </is>
      </c>
      <c r="D23" s="63" t="inlineStr">
        <is>
          <t>Functional</t>
        </is>
      </c>
      <c r="E23" s="63" t="inlineStr">
        <is>
          <t>High</t>
        </is>
      </c>
      <c r="F23" s="63" t="inlineStr">
        <is>
          <t>AC-09 / AW_AGCY_011</t>
        </is>
      </c>
      <c r="G23" s="71" t="inlineStr">
        <is>
          <t>Check file CSV tải về chứa đúng dữ liệu tương ứng với filter đang áp dụng trên màn hình</t>
        </is>
      </c>
      <c r="H23" s="71" t="inlineStr">
        <is>
          <t>System Admin đã đăng nhập (E03). AW_AGCY_011 đang filter tháng 09/2026 + trạng thái Chưa thanh toán. Có 3 bản ghi thỏa điều kiện. 5 bản ghi Đã thanh toán không thỏa điều kiện.</t>
        </is>
      </c>
      <c r="I23" s="71" t="inlineStr">
        <is>
          <t>1. Áp dụng filter: tháng 09/2026 + trạng thái = Chưa thanh toán
2. Nhấn nút Tải CSV
3. Mở file CSV tải về</t>
        </is>
      </c>
      <c r="J23" s="70" t="inlineStr">
        <is>
          <t>- File CSV được tải về trình duyệt
- CSV chứa đúng 3 bản ghi (thỏa filter)
- CSV KHÔNG chứa 5 bản ghi Đã thanh toán
- Mỗi hàng có đầy đủ: tên đại lý, tháng, số tiền, trạng thái</t>
        </is>
      </c>
      <c r="K23" s="70" t="inlineStr">
        <is>
          <t>Filter: tháng 09/2026, trạng thái = Chưa thanh toán → 3 bản ghi (AGC-001, AGC-003, AGC-005)</t>
        </is>
      </c>
      <c r="L23" s="70" t="inlineStr">
        <is>
          <t>Critical</t>
        </is>
      </c>
      <c r="M23" s="65" t="n"/>
      <c r="N23" s="66" t="n"/>
      <c r="O23" s="81" t="n"/>
      <c r="P23" s="70" t="n"/>
      <c r="Q23" s="65" t="n"/>
      <c r="R23" s="66" t="n"/>
      <c r="S23" s="81" t="n"/>
      <c r="T23" s="70" t="n"/>
      <c r="U23" s="70" t="n"/>
      <c r="V23" s="70" t="n"/>
      <c r="W23" s="70" t="inlineStr">
        <is>
          <t>—</t>
        </is>
      </c>
      <c r="X23" s="68" t="n"/>
      <c r="Y23" s="68" t="n"/>
      <c r="Z23" s="68" t="n"/>
      <c r="AA23" s="68" t="n"/>
      <c r="AB23" s="68" t="n"/>
      <c r="AC23" s="68" t="n"/>
      <c r="AD23" s="68" t="n"/>
      <c r="AE23" s="68" t="n"/>
      <c r="AF23" s="68" t="n"/>
      <c r="AG23" s="68" t="n"/>
      <c r="AH23" s="68" t="n"/>
      <c r="AI23" s="68" t="n"/>
      <c r="AJ23" s="69" t="n"/>
    </row>
    <row r="24">
      <c r="A24" s="59">
        <f>row()-2</f>
        <v/>
      </c>
      <c r="B24" s="60" t="inlineStr">
        <is>
          <t>TC_AGCY_FEE_023</t>
        </is>
      </c>
      <c r="C24" s="71" t="inlineStr">
        <is>
          <t>AW_AGCY_011 — Tải CSV khi không có dữ liệu</t>
        </is>
      </c>
      <c r="D24" s="71" t="inlineStr">
        <is>
          <t>Negative</t>
        </is>
      </c>
      <c r="E24" s="71" t="inlineStr">
        <is>
          <t>Medium</t>
        </is>
      </c>
      <c r="F24" s="71" t="inlineStr">
        <is>
          <t>AC-09 / AW_AGCY_011 / AF-05</t>
        </is>
      </c>
      <c r="G24" s="71" t="inlineStr">
        <is>
          <t>Check hành vi tải CSV khi filter hiện tại không trả về bản ghi nào</t>
        </is>
      </c>
      <c r="H24" s="71" t="inlineStr">
        <is>
          <t>System Admin đã đăng nhập (E03). Filter đang chọn không có bản ghi nào (AGC-003 + Đã thanh toán → 0 kết quả).</t>
        </is>
      </c>
      <c r="I24" s="71" t="inlineStr">
        <is>
          <t>1. Áp dụng filter không có kết quả (AGC-003 + Đã thanh toán)
2. Nhấn nút Tải CSV</t>
        </is>
      </c>
      <c r="J24" s="70" t="inlineStr">
        <is>
          <t>- Hệ thống xuất file CSV chỉ có header row (không có data row) HOẶC hiển thị thông báo "Không có dữ liệu để xuất"
- Không crash, không lỗi</t>
        </is>
      </c>
      <c r="K24" s="70" t="inlineStr">
        <is>
          <t>Filter: AGC-003 + Đã thanh toán → 0 bản ghi</t>
        </is>
      </c>
      <c r="L24" s="70" t="inlineStr">
        <is>
          <t>Medium</t>
        </is>
      </c>
      <c r="M24" s="65" t="n"/>
      <c r="N24" s="66" t="n"/>
      <c r="O24" s="81" t="n"/>
      <c r="P24" s="70" t="n"/>
      <c r="Q24" s="65" t="n"/>
      <c r="R24" s="66" t="n"/>
      <c r="S24" s="81" t="n"/>
      <c r="T24" s="70" t="n"/>
      <c r="U24" s="70" t="n"/>
      <c r="V24" s="70" t="n"/>
      <c r="W24" s="70" t="inlineStr">
        <is>
          <t>⚠️ Cần BA confirm: AF-05 — xuất file CSV rỗng (header only) hay hiển thị toast "Không có dữ liệu"?</t>
        </is>
      </c>
      <c r="X24" s="68" t="n"/>
      <c r="Y24" s="68" t="n"/>
      <c r="Z24" s="68" t="n"/>
      <c r="AA24" s="68" t="n"/>
      <c r="AB24" s="68" t="n"/>
      <c r="AC24" s="68" t="n"/>
      <c r="AD24" s="68" t="n"/>
      <c r="AE24" s="68" t="n"/>
      <c r="AF24" s="68" t="n"/>
      <c r="AG24" s="68" t="n"/>
      <c r="AH24" s="68" t="n"/>
      <c r="AI24" s="68" t="n"/>
      <c r="AJ24" s="69" t="n"/>
    </row>
    <row r="25">
      <c r="A25" s="59">
        <f>row()-2</f>
        <v/>
      </c>
      <c r="B25" s="60" t="inlineStr">
        <is>
          <t>TC_AGCY_FEE_024</t>
        </is>
      </c>
      <c r="C25" s="71" t="inlineStr">
        <is>
          <t>AW_AGCY_011 — CSV header row đầy đủ cột</t>
        </is>
      </c>
      <c r="D25" s="71" t="inlineStr">
        <is>
          <t>Functional</t>
        </is>
      </c>
      <c r="E25" s="71" t="inlineStr">
        <is>
          <t>High</t>
        </is>
      </c>
      <c r="F25" s="71" t="inlineStr">
        <is>
          <t>AC-09 / AW_AGCY_011</t>
        </is>
      </c>
      <c r="G25" s="71" t="inlineStr">
        <is>
          <t>Check file CSV có header row với đầy đủ cột bắt buộc</t>
        </is>
      </c>
      <c r="H25" s="71" t="inlineStr">
        <is>
          <t>System Admin đã đăng nhập (E03). Có ít nhất 1 bản ghi fee.</t>
        </is>
      </c>
      <c r="I25" s="71" t="inlineStr">
        <is>
          <t>1. Truy cập AW_AGCY_011
2. Nhấn Tải CSV (không filter gì thêm)
3. Mở file và kiểm tra hàng đầu tiên</t>
        </is>
      </c>
      <c r="J25" s="70" t="inlineStr">
        <is>
          <t>- Hàng đầu tiên là header row (không phải data)
- Header có đủ cột: tên đại lý, tháng, số tiền hoa hồng, trạng thái (tối thiểu)
- Tên cột rõ ràng, không trống</t>
        </is>
      </c>
      <c r="K25" s="70" t="inlineStr">
        <is>
          <t>Bất kỳ bản ghi fee nào đã tồn tại</t>
        </is>
      </c>
      <c r="L25" s="70" t="inlineStr">
        <is>
          <t>High</t>
        </is>
      </c>
      <c r="M25" s="65" t="n"/>
      <c r="N25" s="66" t="n"/>
      <c r="O25" s="81" t="n"/>
      <c r="P25" s="70" t="n"/>
      <c r="Q25" s="65" t="n"/>
      <c r="R25" s="66" t="n"/>
      <c r="S25" s="81" t="n"/>
      <c r="T25" s="70" t="n"/>
      <c r="U25" s="70" t="n"/>
      <c r="V25" s="70" t="n"/>
      <c r="W25" s="70" t="inlineStr">
        <is>
          <t>⚠️ Cần BA confirm: tên cột header tiếng Nhật hay tiếng Anh? Các cột bắt buộc đầy đủ là gì (có thêm: ngày chuyển, ID đại lý, Plan…)?</t>
        </is>
      </c>
      <c r="X25" s="68" t="n"/>
      <c r="Y25" s="68" t="n"/>
      <c r="Z25" s="68" t="n"/>
      <c r="AA25" s="68" t="n"/>
      <c r="AB25" s="68" t="n"/>
      <c r="AC25" s="68" t="n"/>
      <c r="AD25" s="68" t="n"/>
      <c r="AE25" s="68" t="n"/>
      <c r="AF25" s="68" t="n"/>
      <c r="AG25" s="68" t="n"/>
      <c r="AH25" s="68" t="n"/>
      <c r="AI25" s="68" t="n"/>
      <c r="AJ25" s="69" t="n"/>
    </row>
    <row r="26">
      <c r="A26" s="59">
        <f>row()-2</f>
        <v/>
      </c>
      <c r="B26" s="60" t="inlineStr">
        <is>
          <t>TC_AGCY_FEE_025</t>
        </is>
      </c>
      <c r="C26" s="70" t="inlineStr">
        <is>
          <t>AW_AGCY_011 — CSV encoding phù hợp cho client Nhật</t>
        </is>
      </c>
      <c r="D26" s="70" t="inlineStr">
        <is>
          <t>Functional</t>
        </is>
      </c>
      <c r="E26" s="70" t="inlineStr">
        <is>
          <t>High</t>
        </is>
      </c>
      <c r="F26" s="70" t="inlineStr">
        <is>
          <t>AC-09 / AW_AGCY_011</t>
        </is>
      </c>
      <c r="G26" s="70" t="inlineStr">
        <is>
          <t>Check file CSV mở được trên Excel Nhật Bản không bị lỗi ký tự (文字化け)</t>
        </is>
      </c>
      <c r="H26" s="70" t="inlineStr">
        <is>
          <t>System Admin đã đăng nhập (E03). Tên đại lý có ký tự tiếng Nhật (hiragana, katakana, kanji).</t>
        </is>
      </c>
      <c r="I26" s="70" t="inlineStr">
        <is>
          <t>1. Truy cập AW_AGCY_011
2. Nhấn Tải CSV
3. Mở file bằng Microsoft Excel (phiên bản Nhật Bản)</t>
        </is>
      </c>
      <c r="J26" s="70" t="inlineStr">
        <is>
          <t>- Ký tự tiếng Nhật trong tên đại lý hiển thị đúng, không bị lỗi (文字化け)
- Số tiền hiển thị đúng định dạng số
- Không có ký tự lạ hoặc ô cột bị lệch</t>
        </is>
      </c>
      <c r="K26" s="70" t="inlineStr">
        <is>
          <t>Tên đại lý: "株式会社エクセレントフーズ" (kanji + katakana)</t>
        </is>
      </c>
      <c r="L26" s="70" t="inlineStr">
        <is>
          <t>High</t>
        </is>
      </c>
      <c r="M26" s="65" t="n"/>
      <c r="N26" s="66" t="n"/>
      <c r="O26" s="81" t="n"/>
      <c r="P26" s="70" t="n"/>
      <c r="Q26" s="65" t="n"/>
      <c r="R26" s="66" t="n"/>
      <c r="S26" s="81" t="n"/>
      <c r="T26" s="70" t="n"/>
      <c r="U26" s="70" t="n"/>
      <c r="V26" s="70" t="n"/>
      <c r="W26" s="70" t="inlineStr">
        <is>
          <t>⚠️ Cần BA confirm: encoding UTF-8 với BOM (UTF-8 BOM — Excel Nhật mở được) hay Shift-JIS? Đây là yêu cầu client Nhật Bản</t>
        </is>
      </c>
      <c r="X26" s="68" t="n"/>
      <c r="Y26" s="68" t="n"/>
      <c r="Z26" s="68" t="n"/>
      <c r="AA26" s="68" t="n"/>
      <c r="AB26" s="68" t="n"/>
      <c r="AC26" s="68" t="n"/>
      <c r="AD26" s="68" t="n"/>
      <c r="AE26" s="68" t="n"/>
      <c r="AF26" s="68" t="n"/>
      <c r="AG26" s="68" t="n"/>
      <c r="AH26" s="68" t="n"/>
      <c r="AI26" s="68" t="n"/>
      <c r="AJ26" s="69" t="n"/>
    </row>
    <row r="27">
      <c r="A27" s="59">
        <f>row()-2</f>
        <v/>
      </c>
      <c r="B27" s="60" t="inlineStr">
        <is>
          <t>TC_AGCY_FEE_026</t>
        </is>
      </c>
      <c r="C27" s="70" t="inlineStr">
        <is>
          <t>AW_AGCY_012 — Đổi trạng thái Chưa thanh toán sang Đã thanh toán</t>
        </is>
      </c>
      <c r="D27" s="70" t="inlineStr">
        <is>
          <t>Functional</t>
        </is>
      </c>
      <c r="E27" s="70" t="inlineStr">
        <is>
          <t>High</t>
        </is>
      </c>
      <c r="F27" s="70" t="inlineStr">
        <is>
          <t>AC-08 / AW_AGCY_012</t>
        </is>
      </c>
      <c r="G27" s="70" t="inlineStr">
        <is>
          <t>Check đổi trạng thái từ Chưa thanh toán sang Đã thanh toán lưu thành công và ghi ngày chuyển</t>
        </is>
      </c>
      <c r="H27" s="70" t="inlineStr">
        <is>
          <t>System Admin đã đăng nhập (E03). Bản ghi FEE-202609-001 (AGC-001 tháng 09/2026) trạng thái Chưa thanh toán, ngày chuyển = trống.</t>
        </is>
      </c>
      <c r="I27" s="70" t="inlineStr">
        <is>
          <t>1. Truy cập AW_AGCY_011
2. Chọn bản ghi FEE-202609-001
3. Mở modal/inline AW_AGCY_012
4. Đổi trạng thái sang Đã thanh toán
5. Nhấn Cập nhật</t>
        </is>
      </c>
      <c r="J27" s="70" t="inlineStr">
        <is>
          <t>- Hệ thống lưu thành công
- Trạng thái bản ghi FEE-202609-001 → Đã thanh toán
- Ngày chuyển được ghi nhận = ngày thực hiện thao tác (2026-09-21)
- Danh sách cập nhật hiển thị trạng thái mới</t>
        </is>
      </c>
      <c r="K27" s="70" t="inlineStr">
        <is>
          <t>FEE-202609-001: AGC-001, 09/2026, 65,000¥, Chưa TT</t>
        </is>
      </c>
      <c r="L27" s="70" t="inlineStr">
        <is>
          <t>Critical</t>
        </is>
      </c>
      <c r="M27" s="65" t="n"/>
      <c r="N27" s="66" t="n"/>
      <c r="O27" s="81" t="n"/>
      <c r="P27" s="70" t="n"/>
      <c r="Q27" s="65" t="n"/>
      <c r="R27" s="66" t="n"/>
      <c r="S27" s="81" t="n"/>
      <c r="T27" s="70" t="n"/>
      <c r="U27" s="70" t="n"/>
      <c r="V27" s="70" t="n"/>
      <c r="W27" s="70" t="inlineStr">
        <is>
          <t>—</t>
        </is>
      </c>
      <c r="X27" s="68" t="n"/>
      <c r="Y27" s="68" t="n"/>
      <c r="Z27" s="68" t="n"/>
      <c r="AA27" s="68" t="n"/>
      <c r="AB27" s="68" t="n"/>
      <c r="AC27" s="68" t="n"/>
      <c r="AD27" s="68" t="n"/>
      <c r="AE27" s="68" t="n"/>
      <c r="AF27" s="68" t="n"/>
      <c r="AG27" s="68" t="n"/>
      <c r="AH27" s="68" t="n"/>
      <c r="AI27" s="68" t="n"/>
      <c r="AJ27" s="69" t="n"/>
    </row>
    <row r="28">
      <c r="A28" s="59">
        <f>row()-2</f>
        <v/>
      </c>
      <c r="B28" s="60" t="inlineStr">
        <is>
          <t>TC_AGCY_FEE_027</t>
        </is>
      </c>
      <c r="C28" s="70" t="inlineStr">
        <is>
          <t>AW_AGCY_012 — Đổi trạng thái Đã thanh toán về Chưa thanh toán</t>
        </is>
      </c>
      <c r="D28" s="70" t="inlineStr">
        <is>
          <t>Functional</t>
        </is>
      </c>
      <c r="E28" s="70" t="inlineStr">
        <is>
          <t>High</t>
        </is>
      </c>
      <c r="F28" s="70" t="inlineStr">
        <is>
          <t>AC-08 / AW_AGCY_012</t>
        </is>
      </c>
      <c r="G28" s="75" t="inlineStr">
        <is>
          <t>Check đổi trạng thái từ Đã thanh toán về Chưa thanh toán lưu thành công</t>
        </is>
      </c>
      <c r="H28" s="70" t="inlineStr">
        <is>
          <t>System Admin đã đăng nhập (E03). Bản ghi FEE-202609-002 (AGC-002) trạng thái Đã thanh toán, ngày chuyển 2026-09-15.</t>
        </is>
      </c>
      <c r="I28" s="70" t="inlineStr">
        <is>
          <t>1. Chọn bản ghi FEE-202609-002
2. Mở AW_AGCY_012
3. Đổi trạng thái về Chưa thanh toán
4. Nhấn Cập nhật</t>
        </is>
      </c>
      <c r="J28" s="70" t="inlineStr">
        <is>
          <t>- Trạng thái → Chưa thanh toán
- Lưu thành công, không lỗi
- Danh sách cập nhật hiển thị Chưa thanh toán</t>
        </is>
      </c>
      <c r="K28" s="70" t="inlineStr">
        <is>
          <t>FEE-202609-002: AGC-002, 09/2026, 50,000¥, Đã TT, ngày chuyển 2026-09-15</t>
        </is>
      </c>
      <c r="L28" s="70" t="inlineStr">
        <is>
          <t>High</t>
        </is>
      </c>
      <c r="M28" s="65" t="n"/>
      <c r="N28" s="66" t="n"/>
      <c r="O28" s="81" t="n"/>
      <c r="P28" s="70" t="n"/>
      <c r="Q28" s="65" t="n"/>
      <c r="R28" s="66" t="n"/>
      <c r="S28" s="81" t="n"/>
      <c r="T28" s="70" t="n"/>
      <c r="U28" s="70" t="n"/>
      <c r="V28" s="70" t="n"/>
      <c r="W28" s="70" t="inlineStr">
        <is>
          <t>⚠️ Cần BA confirm: khi đổi về Chưa thanh toán thì ngày chuyển có bị xóa không hay vẫn giữ nguyên?</t>
        </is>
      </c>
      <c r="X28" s="68" t="n"/>
      <c r="Y28" s="68" t="n"/>
      <c r="Z28" s="68" t="n"/>
      <c r="AA28" s="68" t="n"/>
      <c r="AB28" s="68" t="n"/>
      <c r="AC28" s="68" t="n"/>
      <c r="AD28" s="68" t="n"/>
      <c r="AE28" s="68" t="n"/>
      <c r="AF28" s="68" t="n"/>
      <c r="AG28" s="68" t="n"/>
      <c r="AH28" s="68" t="n"/>
      <c r="AI28" s="68" t="n"/>
      <c r="AJ28" s="69" t="n"/>
    </row>
    <row r="29">
      <c r="A29" s="59">
        <f>row()-2</f>
        <v/>
      </c>
      <c r="B29" s="60" t="inlineStr">
        <is>
          <t>TC_AGCY_FEE_028</t>
        </is>
      </c>
      <c r="C29" s="70" t="inlineStr">
        <is>
          <t>AW_AGCY_012 — Ngày chuyển ghi đúng ngày thực hiện</t>
        </is>
      </c>
      <c r="D29" s="70" t="inlineStr">
        <is>
          <t>Functional</t>
        </is>
      </c>
      <c r="E29" s="70" t="inlineStr">
        <is>
          <t>High</t>
        </is>
      </c>
      <c r="F29" s="70" t="inlineStr">
        <is>
          <t>AC-08 / AW_AGCY_012</t>
        </is>
      </c>
      <c r="G29" s="75" t="inlineStr">
        <is>
          <t>Check ngày chuyển được ghi nhận là ngày Admin thực hiện cập nhật trạng thái sang Đã thanh toán</t>
        </is>
      </c>
      <c r="H29" s="70" t="inlineStr">
        <is>
          <t>System Admin đã đăng nhập (E03). Bản ghi FEE-202609-003 Chưa thanh toán. Ngày hiện tại = 2026-09-21.</t>
        </is>
      </c>
      <c r="I29" s="75" t="inlineStr">
        <is>
          <t>1. Chọn bản ghi FEE-202609-003
2. Đổi trạng thái sang Đã thanh toán
3. Nhấn Cập nhật
4. Mở lại bản ghi kiểm tra ngày chuyển</t>
        </is>
      </c>
      <c r="J29" s="70" t="inlineStr">
        <is>
          <t>- Ngày chuyển hiển thị "2026-09-21"
- Không phải ngày khác (không phải ngày tạo dự toán, không phải 01/09/2026)</t>
        </is>
      </c>
      <c r="K29" s="70" t="inlineStr">
        <is>
          <t>FEE-202609-003: AGC-003, Chưa TT; thực hiện cập nhật đúng 2026-09-21</t>
        </is>
      </c>
      <c r="L29" s="70" t="inlineStr">
        <is>
          <t>High</t>
        </is>
      </c>
      <c r="M29" s="65" t="n"/>
      <c r="N29" s="66" t="n"/>
      <c r="O29" s="81" t="n"/>
      <c r="P29" s="70" t="n"/>
      <c r="Q29" s="65" t="n"/>
      <c r="R29" s="66" t="n"/>
      <c r="S29" s="81" t="n"/>
      <c r="T29" s="70" t="n"/>
      <c r="U29" s="70" t="n"/>
      <c r="V29" s="70" t="n"/>
      <c r="W29" s="70" t="inlineStr">
        <is>
          <t>—</t>
        </is>
      </c>
      <c r="X29" s="68" t="n"/>
      <c r="Y29" s="68" t="n"/>
      <c r="Z29" s="68" t="n"/>
      <c r="AA29" s="68" t="n"/>
      <c r="AB29" s="68" t="n"/>
      <c r="AC29" s="68" t="n"/>
      <c r="AD29" s="68" t="n"/>
      <c r="AE29" s="68" t="n"/>
      <c r="AF29" s="68" t="n"/>
      <c r="AG29" s="68" t="n"/>
      <c r="AH29" s="68" t="n"/>
      <c r="AI29" s="68" t="n"/>
      <c r="AJ29" s="69" t="n"/>
    </row>
    <row r="30">
      <c r="A30" s="59">
        <f>row()-2</f>
        <v/>
      </c>
      <c r="B30" s="60" t="inlineStr">
        <is>
          <t>TC_AGCY_FEE_029</t>
        </is>
      </c>
      <c r="C30" s="70" t="inlineStr">
        <is>
          <t>AW_AGCY_012 — Trạng thái mới phản ánh ngay trong danh sách</t>
        </is>
      </c>
      <c r="D30" s="70" t="inlineStr">
        <is>
          <t>Functional</t>
        </is>
      </c>
      <c r="E30" s="70" t="inlineStr">
        <is>
          <t>High</t>
        </is>
      </c>
      <c r="F30" s="70" t="inlineStr">
        <is>
          <t>AC-08 / AW_AGCY_012</t>
        </is>
      </c>
      <c r="G30" s="75" t="inlineStr">
        <is>
          <t>Check danh sách AW_AGCY_011 cập nhật hiển thị trạng thái mới ngay sau khi cập nhật, không cần reload trang</t>
        </is>
      </c>
      <c r="H30" s="70" t="inlineStr">
        <is>
          <t>System Admin đã đăng nhập (E03). Đang xem AW_AGCY_011. Bản ghi FEE-202609-001 Chưa thanh toán.</t>
        </is>
      </c>
      <c r="I30" s="75" t="inlineStr">
        <is>
          <t>1. Từ AW_AGCY_011 chọn bản ghi FEE-202609-001
2. Cập nhật sang Đã thanh toán
3. Đóng modal hoặc xác nhận
4. Quan sát danh sách (KHÔNG refresh thủ công)</t>
        </is>
      </c>
      <c r="J30" s="75" t="inlineStr">
        <is>
          <t>- Hàng FEE-202609-001 trong danh sách AW_AGCY_011 hiển thị ngay "Đã thanh toán"
- Ngày chuyển hiển thị đúng
- Không cần F5 hay reload trang</t>
        </is>
      </c>
      <c r="K30" s="75" t="inlineStr">
        <is>
          <t>FEE-202609-001: AGC-001, Chưa TT → cập nhật Đã TT</t>
        </is>
      </c>
      <c r="L30" s="75" t="inlineStr">
        <is>
          <t>High</t>
        </is>
      </c>
      <c r="M30" s="65" t="n"/>
      <c r="N30" s="66" t="n"/>
      <c r="O30" s="81" t="n"/>
      <c r="P30" s="70" t="n"/>
      <c r="Q30" s="65" t="n"/>
      <c r="R30" s="66" t="n"/>
      <c r="S30" s="81" t="n"/>
      <c r="T30" s="70" t="n"/>
      <c r="U30" s="70" t="n"/>
      <c r="V30" s="70" t="n"/>
      <c r="W30" s="70" t="inlineStr">
        <is>
          <t>—</t>
        </is>
      </c>
      <c r="X30" s="68" t="n"/>
      <c r="Y30" s="68" t="n"/>
      <c r="Z30" s="68" t="n"/>
      <c r="AA30" s="68" t="n"/>
      <c r="AB30" s="68" t="n"/>
      <c r="AC30" s="68" t="n"/>
      <c r="AD30" s="68" t="n"/>
      <c r="AE30" s="68" t="n"/>
      <c r="AF30" s="68" t="n"/>
      <c r="AG30" s="68" t="n"/>
      <c r="AH30" s="68" t="n"/>
      <c r="AI30" s="68" t="n"/>
      <c r="AJ30" s="69" t="n"/>
    </row>
    <row r="31">
      <c r="A31" s="59">
        <f>row()-2</f>
        <v/>
      </c>
      <c r="B31" s="60" t="inlineStr">
        <is>
          <t>TC_AGCY_FEE_030</t>
        </is>
      </c>
      <c r="C31" s="74" t="inlineStr">
        <is>
          <t>AW_AGCY_012 — Concurrent update conflict — 2 admin thao tác cùng lúc</t>
        </is>
      </c>
      <c r="D31" s="70" t="inlineStr">
        <is>
          <t>Functional</t>
        </is>
      </c>
      <c r="E31" s="70" t="inlineStr">
        <is>
          <t>High</t>
        </is>
      </c>
      <c r="F31" s="70" t="inlineStr">
        <is>
          <t>AC-08 / AW_AGCY_012 / AF-07</t>
        </is>
      </c>
      <c r="G31" s="70" t="inlineStr">
        <is>
          <t>Check hệ thống phát hiện và xử lý xung đột khi 2 System Admin cập nhật cùng bản ghi hoa hồng đồng thời</t>
        </is>
      </c>
      <c r="H31" s="70" t="inlineStr">
        <is>
          <t>System Admin A và System Admin B cùng mở bản ghi FEE-202609-001 trạng thái Chưa thanh toán (version 1).</t>
        </is>
      </c>
      <c r="I31" s="70" t="inlineStr">
        <is>
          <t>1. Admin A đổi sang Đã thanh toán và nhấn Cập nhật (thành công, version → 2)
2. Admin B (vẫn đang trên form version 1) đổi sang Đã thanh toán và nhấn Cập nhật</t>
        </is>
      </c>
      <c r="J31" s="70" t="inlineStr">
        <is>
          <t>- Admin B nhận thông báo lỗi conflict (optimistic locking)
- Bản ghi không bị ghi đè bừa bãi bởi Admin B
- Hệ thống gợi ý Admin B reload để xem phiên bản mới nhất
- Không mất dữ liệu Admin A đã lưu</t>
        </is>
      </c>
      <c r="K31" s="70" t="inlineStr">
        <is>
          <t>Admin A và Admin B: cùng session, cùng mở FEE-202609-001 version 1; Admin A submit trước</t>
        </is>
      </c>
      <c r="L31" s="70" t="inlineStr">
        <is>
          <t>High</t>
        </is>
      </c>
      <c r="M31" s="65" t="n"/>
      <c r="N31" s="66" t="n"/>
      <c r="O31" s="81" t="n"/>
      <c r="P31" s="70" t="n"/>
      <c r="Q31" s="65" t="n"/>
      <c r="R31" s="66" t="n"/>
      <c r="S31" s="81" t="n"/>
      <c r="T31" s="70" t="n"/>
      <c r="U31" s="70" t="n"/>
      <c r="V31" s="70" t="n"/>
      <c r="W31" s="70" t="inlineStr">
        <is>
          <t>⚠️ Cần BA confirm: message lỗi conflict cụ thể (AF-07). ⚠️ Cần BA confirm: hệ thống có yêu cầu audit log (ai cập nhật, lúc mấy giờ) không?</t>
        </is>
      </c>
      <c r="X31" s="68" t="n"/>
      <c r="Y31" s="68" t="n"/>
      <c r="Z31" s="68" t="n"/>
      <c r="AA31" s="68" t="n"/>
      <c r="AB31" s="68" t="n"/>
      <c r="AC31" s="68" t="n"/>
      <c r="AD31" s="68" t="n"/>
      <c r="AE31" s="68" t="n"/>
      <c r="AF31" s="68" t="n"/>
      <c r="AG31" s="68" t="n"/>
      <c r="AH31" s="68" t="n"/>
      <c r="AI31" s="68" t="n"/>
      <c r="AJ31" s="69" t="n"/>
    </row>
    <row r="32">
      <c r="A32" s="59">
        <f>row()-2</f>
        <v/>
      </c>
      <c r="B32" s="60" t="inlineStr">
        <is>
          <t>TC_AGCY_FEE_031</t>
        </is>
      </c>
      <c r="C32" s="74" t="inlineStr">
        <is>
          <t>AW_AGCY_011 — Plan thay đổi giữa kỳ chỉ áp từ kỳ tiếp theo</t>
        </is>
      </c>
      <c r="D32" s="70" t="inlineStr">
        <is>
          <t>Calculation</t>
        </is>
      </c>
      <c r="E32" s="70" t="inlineStr">
        <is>
          <t>High</t>
        </is>
      </c>
      <c r="F32" s="70" t="inlineStr">
        <is>
          <t>AC-07 / AW_AGCY_011</t>
        </is>
      </c>
      <c r="G32" s="70" t="inlineStr">
        <is>
          <t>Check khi Plan hoa hồng của đại lý thay đổi giữa kỳ, dự toán kỳ tiếp theo áp Plan mới, kỳ cũ không bị ảnh hưởng</t>
        </is>
      </c>
      <c r="H32" s="70" t="inlineStr">
        <is>
          <t>System Admin đã đăng nhập (E03). AGC-001 Plan A, đã có bản ghi fee 08/2026 tạo theo Plan A = 80,000¥ (Chưa thanh toán). Admin đổi Plan → Plan B vào giữa 09/2026. Doanh thu 08/2026 vẫn là 1,000,000¥.</t>
        </is>
      </c>
      <c r="I32" s="70" t="inlineStr">
        <is>
          <t>1. Đổi Plan AGC-001 từ A → B (trong AW_AGCY_004)
2. Kích hoạt auto-generate tháng 09/2026 (kỳ tiếp theo)
3. Kiểm tra bản ghi fee 08/2026 (kỳ cũ)
4. Kiểm tra bản ghi fee 09/2026 (kỳ mới)</t>
        </is>
      </c>
      <c r="J32" s="70" t="inlineStr">
        <is>
          <t>- Bản ghi fee 08/2026: số tiền 80,000¥ KHÔNG thay đổi (áp Plan A cũ, không hồi tố)
- Bản ghi fee 09/2026: được tạo theo Plan B rate × doanh thu 08/2026
- Số tiền 08/2026 và 09/2026 khác nhau (do khác Plan)</t>
        </is>
      </c>
      <c r="K32" s="70" t="inlineStr">
        <is>
          <t>AGC-001: fee-08/2026 đã tạo theo Plan A = 80,000¥; đổi Plan → B; fee-09/2026 cần tạo theo Plan B</t>
        </is>
      </c>
      <c r="L32" s="70" t="inlineStr">
        <is>
          <t>Critical</t>
        </is>
      </c>
      <c r="M32" s="65" t="n"/>
      <c r="N32" s="66" t="n"/>
      <c r="O32" s="81" t="n"/>
      <c r="P32" s="70" t="n"/>
      <c r="Q32" s="65" t="n"/>
      <c r="R32" s="66" t="n"/>
      <c r="S32" s="81" t="n"/>
      <c r="T32" s="70" t="n"/>
      <c r="U32" s="70" t="n"/>
      <c r="V32" s="70" t="n"/>
      <c r="W32" s="70" t="inlineStr">
        <is>
          <t>AF-09</t>
        </is>
      </c>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TC_AGCY_DASH_001</t>
        </is>
      </c>
      <c r="C2" s="63" t="inlineStr">
        <is>
          <t>Dashboard UI tổng thể</t>
        </is>
      </c>
      <c r="D2" s="71" t="inlineStr">
        <is>
          <t>UI</t>
        </is>
      </c>
      <c r="E2" s="71" t="inlineStr">
        <is>
          <t>Medium</t>
        </is>
      </c>
      <c r="F2" s="71" t="inlineStr">
        <is>
          <t>AC-11 / AW_AGCY_013</t>
        </is>
      </c>
      <c r="G2" s="63" t="inlineStr">
        <is>
          <t>Check hiển thị màn hình Dashboard Hiệu suất Giới thiệu đầy đủ 3 chỉ số và biểu đồ khi có dữ liệu</t>
        </is>
      </c>
      <c r="H2" s="71" t="inlineStr">
        <is>
          <t>System Admin đã đăng nhập. Hệ thống có ít nhất 5 pháp nhân được giới thiệu thành công và doanh thu &gt; 0.</t>
        </is>
      </c>
      <c r="I2" s="71" t="inlineStr">
        <is>
          <t>1. System Admin điều hướng tới màn hình AW_AGCY_013 (Dashboard Hiệu suất Giới thiệu)</t>
        </is>
      </c>
      <c r="J2" s="70" t="inlineStr">
        <is>
          <t>- Màn hình hiển thị thành công không có lỗi
- Chỉ số 1: "Tổng số pháp nhân giới thiệu thành công" có nhãn và giá trị số
- Chỉ số 2: "Tổng doanh thu từ kênh giới thiệu" có nhãn và giá trị số
- Biểu đồ xu hướng (line chart hoặc bar chart) hiển thị
- Bộ lọc kỳ thời gian và bộ lọc đại lý hiển thị</t>
        </is>
      </c>
      <c r="K2" s="70" t="inlineStr">
        <is>
          <t>System Admin role với JWT hợp lệ. Pháp nhân: 5 pháp nhân. Doanh thu: &gt; 0 円.</t>
        </is>
      </c>
      <c r="L2" s="70" t="inlineStr">
        <is>
          <t>Critical</t>
        </is>
      </c>
      <c r="M2" s="65" t="n"/>
      <c r="N2" s="66" t="n"/>
      <c r="O2" s="81" t="n"/>
      <c r="P2" s="81" t="n"/>
      <c r="Q2" s="65" t="n"/>
      <c r="R2" s="66" t="n"/>
      <c r="S2" s="81" t="n"/>
      <c r="T2" s="81" t="n"/>
      <c r="U2" s="63" t="n"/>
      <c r="V2" s="63" t="n"/>
      <c r="W2" s="81" t="inlineStr">
        <is>
          <t>⚠️ Cần BA confirm: layout cụ thể (thứ tự 3 chỉ số, vị trí filter, kích thước biểu đồ) — SPEC không mô tả chi tiết UI</t>
        </is>
      </c>
      <c r="X2" s="68" t="n"/>
      <c r="Y2" s="68" t="n"/>
      <c r="Z2" s="68" t="n"/>
      <c r="AA2" s="68" t="n"/>
      <c r="AB2" s="68" t="n"/>
      <c r="AC2" s="68" t="n"/>
      <c r="AD2" s="68" t="n"/>
      <c r="AE2" s="68" t="n"/>
      <c r="AF2" s="68" t="n"/>
      <c r="AG2" s="68" t="n"/>
      <c r="AH2" s="68" t="n"/>
      <c r="AI2" s="68" t="n"/>
      <c r="AJ2" s="69" t="n"/>
    </row>
    <row r="3">
      <c r="A3" s="59">
        <f>row()-2</f>
        <v/>
      </c>
      <c r="B3" s="60" t="inlineStr">
        <is>
          <t>TC_AGCY_DASH_002</t>
        </is>
      </c>
      <c r="C3" s="63" t="inlineStr">
        <is>
          <t>Chỉ số tổng số pháp nhân</t>
        </is>
      </c>
      <c r="D3" s="63" t="inlineStr">
        <is>
          <t>Calculation</t>
        </is>
      </c>
      <c r="E3" s="63" t="inlineStr">
        <is>
          <t>High</t>
        </is>
      </c>
      <c r="F3" s="63" t="inlineStr">
        <is>
          <t>AC-11 / AW_AGCY_013</t>
        </is>
      </c>
      <c r="G3" s="63" t="inlineStr">
        <is>
          <t>Check tổng số pháp nhân giới thiệu thành công hiển thị đúng khớp với dữ liệu thực tế trong hệ thống</t>
        </is>
      </c>
      <c r="H3" s="71" t="inlineStr">
        <is>
          <t>System Admin đã đăng nhập. Có đúng 7 pháp nhân đã được giới thiệu thành công (trạng thái "Ký") trong hệ thống.</t>
        </is>
      </c>
      <c r="I3" s="71" t="inlineStr">
        <is>
          <t>1. Truy cập màn hình AW_AGCY_013
2. Đọc giá trị chỉ số tổng số pháp nhân</t>
        </is>
      </c>
      <c r="J3" s="70" t="inlineStr">
        <is>
          <t>- Chỉ số hiển thị đúng giá trị `7`
- Giá trị này khớp với tổng bản ghi có trạng thái "Ký" trong module Referral (AW_AGCY_008)</t>
        </is>
      </c>
      <c r="K3" s="70" t="inlineStr">
        <is>
          <t>Pháp nhân giới thiệu thành công (trạng thái "Ký"): 7 bản ghi. Pháp nhân "Đang đàm phán": 3 bản ghi (không tính). Pháp nhân "Hủy": 2 bản ghi (không tính).</t>
        </is>
      </c>
      <c r="L3" s="70" t="inlineStr">
        <is>
          <t>High</t>
        </is>
      </c>
      <c r="M3" s="65" t="n"/>
      <c r="N3" s="66" t="n"/>
      <c r="O3" s="81" t="n"/>
      <c r="P3" s="70" t="n"/>
      <c r="Q3" s="65" t="n"/>
      <c r="R3" s="66" t="n"/>
      <c r="S3" s="81" t="n"/>
      <c r="T3" s="70" t="n"/>
      <c r="U3" s="70" t="n"/>
      <c r="V3" s="70" t="n"/>
      <c r="W3" s="70" t="inlineStr">
        <is>
          <t>⚠️ Cần BA confirm: định nghĩa chính xác "giới thiệu thành công" — chỉ trạng thái "Ký" hay bao gồm cả trạng thái khác?</t>
        </is>
      </c>
      <c r="X3" s="68" t="n"/>
      <c r="Y3" s="68" t="n"/>
      <c r="Z3" s="68" t="n"/>
      <c r="AA3" s="68" t="n"/>
      <c r="AB3" s="68" t="n"/>
      <c r="AC3" s="68" t="n"/>
      <c r="AD3" s="68" t="n"/>
      <c r="AE3" s="68" t="n"/>
      <c r="AF3" s="68" t="n"/>
      <c r="AG3" s="68" t="n"/>
      <c r="AH3" s="68" t="n"/>
      <c r="AI3" s="68" t="n"/>
      <c r="AJ3" s="69" t="n"/>
    </row>
    <row r="4">
      <c r="A4" s="59">
        <f>row()-2</f>
        <v/>
      </c>
      <c r="B4" s="60" t="inlineStr">
        <is>
          <t>TC_AGCY_DASH_003</t>
        </is>
      </c>
      <c r="C4" s="71" t="inlineStr">
        <is>
          <t>Chỉ số tổng doanh thu</t>
        </is>
      </c>
      <c r="D4" s="63" t="inlineStr">
        <is>
          <t>Calculation</t>
        </is>
      </c>
      <c r="E4" s="63" t="inlineStr">
        <is>
          <t>High</t>
        </is>
      </c>
      <c r="F4" s="63" t="inlineStr">
        <is>
          <t>AC-11 / AW_AGCY_013</t>
        </is>
      </c>
      <c r="G4" s="63" t="inlineStr">
        <is>
          <t>Check tổng doanh thu từ kênh giới thiệu hiển thị đúng khớp với dữ liệu đơn hàng thực tế</t>
        </is>
      </c>
      <c r="H4" s="63" t="inlineStr">
        <is>
          <t>System Admin đã đăng nhập. Hệ thống có dữ liệu đơn hàng từ kênh giới thiệu.</t>
        </is>
      </c>
      <c r="I4" s="71" t="inlineStr">
        <is>
          <t>1. Truy cập màn hình AW_AGCY_013
2. Đọc giá trị chỉ số tổng doanh thu
3. Đối chiếu với tổng doanh thu trong màn hình Doanh số theo Đại lý (AW_AGCY_010)</t>
        </is>
      </c>
      <c r="J4" s="70" t="inlineStr">
        <is>
          <t>- Giá trị tổng doanh thu trên dashboard khớp với tổng doanh thu trong AW_AGCY_010 (không filter theo đại lý)
- Giá trị hiển thị đúng đơn vị tiền tệ</t>
        </is>
      </c>
      <c r="K4" s="70" t="inlineStr">
        <is>
          <t>Doanh thu đại lý A: 500,000 円. Doanh thu đại lý B: 300,000 円. Tổng kỳ vọng: 800,000 円.</t>
        </is>
      </c>
      <c r="L4" s="70" t="inlineStr">
        <is>
          <t>High</t>
        </is>
      </c>
      <c r="M4" s="65" t="n"/>
      <c r="N4" s="66" t="n"/>
      <c r="O4" s="81" t="n"/>
      <c r="P4" s="70" t="n"/>
      <c r="Q4" s="65" t="n"/>
      <c r="R4" s="66" t="n"/>
      <c r="S4" s="81" t="n"/>
      <c r="T4" s="70" t="n"/>
      <c r="U4" s="70" t="n"/>
      <c r="V4" s="70" t="n"/>
      <c r="W4" s="70" t="inlineStr">
        <is>
          <t>⚠️ Cần BA confirm: chỉ số doanh thu là tích lũy toàn thời gian hay theo kỳ đang chọn trong filter?</t>
        </is>
      </c>
      <c r="X4" s="68" t="n"/>
      <c r="Y4" s="68" t="n"/>
      <c r="Z4" s="68" t="n"/>
      <c r="AA4" s="68" t="n"/>
      <c r="AB4" s="68" t="n"/>
      <c r="AC4" s="68" t="n"/>
      <c r="AD4" s="68" t="n"/>
      <c r="AE4" s="68" t="n"/>
      <c r="AF4" s="68" t="n"/>
      <c r="AG4" s="68" t="n"/>
      <c r="AH4" s="68" t="n"/>
      <c r="AI4" s="68" t="n"/>
      <c r="AJ4" s="69" t="n"/>
    </row>
    <row r="5">
      <c r="A5" s="59">
        <f>row()-2</f>
        <v/>
      </c>
      <c r="B5" s="60" t="inlineStr">
        <is>
          <t>TC_AGCY_DASH_004</t>
        </is>
      </c>
      <c r="C5" s="71" t="inlineStr">
        <is>
          <t>Biểu đồ xu hướng</t>
        </is>
      </c>
      <c r="D5" s="63" t="inlineStr">
        <is>
          <t>Functional</t>
        </is>
      </c>
      <c r="E5" s="63" t="inlineStr">
        <is>
          <t>High</t>
        </is>
      </c>
      <c r="F5" s="63" t="inlineStr">
        <is>
          <t>AC-11 / AW_AGCY_013</t>
        </is>
      </c>
      <c r="G5" s="63" t="inlineStr">
        <is>
          <t>Check biểu đồ xu hướng theo tháng hiển thị đủ điểm dữ liệu và trục tọa độ đúng</t>
        </is>
      </c>
      <c r="H5" s="71" t="inlineStr">
        <is>
          <t>System Admin đã đăng nhập. Có dữ liệu giới thiệu trong 6 tháng liên tiếp (2026/01 đến 2026/06).</t>
        </is>
      </c>
      <c r="I5" s="71" t="inlineStr">
        <is>
          <t>1. Truy cập màn hình AW_AGCY_013
2. Chọn granularity "Tháng" (nếu chưa mặc định)
3. Quan sát biểu đồ xu hướng</t>
        </is>
      </c>
      <c r="J5" s="70" t="inlineStr">
        <is>
          <t>- Biểu đồ hiển thị ít nhất 6 điểm dữ liệu tương ứng 6 tháng
- Trục X hiển thị nhãn tháng
- Trục Y hiển thị giá trị số (pháp nhân hoặc doanh thu)
- Biểu đồ không bị vỡ layout</t>
        </is>
      </c>
      <c r="K5" s="70" t="inlineStr">
        <is>
          <t>Dữ liệu 6 tháng (01/2026 đến 06/2026), mỗi tháng có ít nhất 1 bản ghi giới thiệu.</t>
        </is>
      </c>
      <c r="L5" s="70" t="inlineStr">
        <is>
          <t>High</t>
        </is>
      </c>
      <c r="M5" s="65" t="n"/>
      <c r="N5" s="66" t="n"/>
      <c r="O5" s="81" t="n"/>
      <c r="P5" s="70" t="n"/>
      <c r="Q5" s="65" t="n"/>
      <c r="R5" s="66" t="n"/>
      <c r="S5" s="81" t="n"/>
      <c r="T5" s="70" t="n"/>
      <c r="U5" s="70" t="n"/>
      <c r="V5" s="70" t="n"/>
      <c r="W5" s="70" t="inlineStr">
        <is>
          <t>⚠️ Cần BA confirm: biểu đồ thể hiện số pháp nhân hay doanh thu hay cả hai? Loại biểu đồ (line chart hay bar chart)?</t>
        </is>
      </c>
      <c r="X5" s="68" t="n"/>
      <c r="Y5" s="68" t="n"/>
      <c r="Z5" s="68" t="n"/>
      <c r="AA5" s="68" t="n"/>
      <c r="AB5" s="68" t="n"/>
      <c r="AC5" s="68" t="n"/>
      <c r="AD5" s="68" t="n"/>
      <c r="AE5" s="68" t="n"/>
      <c r="AF5" s="68" t="n"/>
      <c r="AG5" s="68" t="n"/>
      <c r="AH5" s="68" t="n"/>
      <c r="AI5" s="68" t="n"/>
      <c r="AJ5" s="69" t="n"/>
    </row>
    <row r="6">
      <c r="A6" s="59">
        <f>row()-2</f>
        <v/>
      </c>
      <c r="B6" s="60" t="inlineStr">
        <is>
          <t>TC_AGCY_DASH_005</t>
        </is>
      </c>
      <c r="C6" s="71" t="inlineStr">
        <is>
          <t>Filter theo kỳ — lọc theo tháng cụ thể</t>
        </is>
      </c>
      <c r="D6" s="63" t="inlineStr">
        <is>
          <t>Functional</t>
        </is>
      </c>
      <c r="E6" s="63" t="inlineStr">
        <is>
          <t>High</t>
        </is>
      </c>
      <c r="F6" s="63" t="inlineStr">
        <is>
          <t>AC-11 / AW_AGCY_013</t>
        </is>
      </c>
      <c r="G6" s="63" t="inlineStr">
        <is>
          <t>Check bộ lọc kỳ thời gian theo tháng cập nhật đúng dữ liệu hiển thị</t>
        </is>
      </c>
      <c r="H6" s="71" t="inlineStr">
        <is>
          <t>System Admin đã đăng nhập. Có dữ liệu giới thiệu trong nhiều tháng khác nhau (2026/01 và 2026/03 khác nhau).</t>
        </is>
      </c>
      <c r="I6" s="71" t="inlineStr">
        <is>
          <t>1. Truy cập màn hình AW_AGCY_013
2. Chọn bộ lọc kỳ = "Tháng 01/2026"
3. Quan sát các chỉ số và biểu đồ</t>
        </is>
      </c>
      <c r="J6" s="70" t="inlineStr">
        <is>
          <t>- Các chỉ số và biểu đồ cập nhật chỉ phản ánh dữ liệu tháng 01/2026
- Giá trị khác với giá trị khi chọn tháng 03/2026
- Không hiển thị dữ liệu ngoài kỳ đã chọn</t>
        </is>
      </c>
      <c r="K6" s="70" t="inlineStr">
        <is>
          <t>Kỳ lọc: 01/2026. Pháp nhân ký trong 01/2026: 3. Pháp nhân ký trong 03/2026: 5 (để đối chiếu).</t>
        </is>
      </c>
      <c r="L6" s="70" t="inlineStr">
        <is>
          <t>High</t>
        </is>
      </c>
      <c r="M6" s="65" t="n"/>
      <c r="N6" s="66" t="n"/>
      <c r="O6" s="81" t="n"/>
      <c r="P6" s="70" t="n"/>
      <c r="Q6" s="65" t="n"/>
      <c r="R6" s="66" t="n"/>
      <c r="S6" s="81" t="n"/>
      <c r="T6" s="70" t="n"/>
      <c r="U6" s="70" t="n"/>
      <c r="V6" s="70" t="n"/>
      <c r="W6" s="70" t="inlineStr">
        <is>
          <t>⚠️ Cần BA confirm: kỳ mặc định khi vào màn hình là gì (tháng hiện tại, quý hiện tại, hay toàn thời gian)?</t>
        </is>
      </c>
      <c r="X6" s="68" t="n"/>
      <c r="Y6" s="68" t="n"/>
      <c r="Z6" s="68" t="n"/>
      <c r="AA6" s="68" t="n"/>
      <c r="AB6" s="68" t="n"/>
      <c r="AC6" s="68" t="n"/>
      <c r="AD6" s="68" t="n"/>
      <c r="AE6" s="68" t="n"/>
      <c r="AF6" s="68" t="n"/>
      <c r="AG6" s="68" t="n"/>
      <c r="AH6" s="68" t="n"/>
      <c r="AI6" s="68" t="n"/>
      <c r="AJ6" s="69" t="n"/>
    </row>
    <row r="7">
      <c r="A7" s="59">
        <f>row()-2</f>
        <v/>
      </c>
      <c r="B7" s="60" t="inlineStr">
        <is>
          <t>TC_AGCY_DASH_006</t>
        </is>
      </c>
      <c r="C7" s="71" t="inlineStr">
        <is>
          <t>Filter theo kỳ — lọc theo quý cụ thể</t>
        </is>
      </c>
      <c r="D7" s="63" t="inlineStr">
        <is>
          <t>Functional</t>
        </is>
      </c>
      <c r="E7" s="63" t="inlineStr">
        <is>
          <t>High</t>
        </is>
      </c>
      <c r="F7" s="63" t="inlineStr">
        <is>
          <t>AC-11 / AW_AGCY_013</t>
        </is>
      </c>
      <c r="G7" s="63" t="inlineStr">
        <is>
          <t>Check bộ lọc kỳ thời gian theo quý cập nhật đúng dữ liệu hiển thị</t>
        </is>
      </c>
      <c r="H7" s="63" t="inlineStr">
        <is>
          <t>System Admin đã đăng nhập. Có dữ liệu giới thiệu trải đều trong Q1/2026 (tháng 1, 2, 3) và Q2/2026 (tháng 4, 5, 6).</t>
        </is>
      </c>
      <c r="I7" s="71" t="inlineStr">
        <is>
          <t>1. Truy cập màn hình AW_AGCY_013
2. Chọn granularity/kỳ = "Q1/2026"
3. Quan sát các chỉ số và biểu đồ
4. Chuyển sang "Q2/2026" và so sánh</t>
        </is>
      </c>
      <c r="J7" s="70" t="inlineStr">
        <is>
          <t>- Khi chọn Q1/2026: dữ liệu tổng hợp 3 tháng (01, 02, 03/2026)
- Khi chọn Q2/2026: dữ liệu tổng hợp 3 tháng (04, 05, 06/2026)
- Hai giá trị khác nhau (do dữ liệu khác nhau)</t>
        </is>
      </c>
      <c r="K7" s="70" t="inlineStr">
        <is>
          <t>Q1/2026: tổng 10 pháp nhân ký. Q2/2026: tổng 8 pháp nhân ký.</t>
        </is>
      </c>
      <c r="L7" s="70" t="inlineStr">
        <is>
          <t>High</t>
        </is>
      </c>
      <c r="M7" s="65" t="n"/>
      <c r="N7" s="66" t="n"/>
      <c r="O7" s="81" t="n"/>
      <c r="P7" s="70" t="n"/>
      <c r="Q7" s="65" t="n"/>
      <c r="R7" s="66" t="n"/>
      <c r="S7" s="81" t="n"/>
      <c r="T7" s="70" t="n"/>
      <c r="U7" s="70" t="n"/>
      <c r="V7" s="70" t="n"/>
      <c r="W7" s="70" t="inlineStr">
        <is>
          <t>⚠️ Cần BA confirm: filter chuyển đổi giữa tháng và quý là cùng 1 dropdown hay 2 control riêng biệt?</t>
        </is>
      </c>
      <c r="X7" s="68" t="n"/>
      <c r="Y7" s="68" t="n"/>
      <c r="Z7" s="68" t="n"/>
      <c r="AA7" s="68" t="n"/>
      <c r="AB7" s="68" t="n"/>
      <c r="AC7" s="68" t="n"/>
      <c r="AD7" s="68" t="n"/>
      <c r="AE7" s="68" t="n"/>
      <c r="AF7" s="68" t="n"/>
      <c r="AG7" s="68" t="n"/>
      <c r="AH7" s="68" t="n"/>
      <c r="AI7" s="68" t="n"/>
      <c r="AJ7" s="69" t="n"/>
    </row>
    <row r="8">
      <c r="A8" s="59">
        <f>row()-2</f>
        <v/>
      </c>
      <c r="B8" s="60" t="inlineStr">
        <is>
          <t>TC_AGCY_DASH_007</t>
        </is>
      </c>
      <c r="C8" s="71" t="inlineStr">
        <is>
          <t>Filter theo đại lý cụ thể</t>
        </is>
      </c>
      <c r="D8" s="63" t="inlineStr">
        <is>
          <t>Functional</t>
        </is>
      </c>
      <c r="E8" s="63" t="inlineStr">
        <is>
          <t>High</t>
        </is>
      </c>
      <c r="F8" s="63" t="inlineStr">
        <is>
          <t>AC-11 / AW_AGCY_013</t>
        </is>
      </c>
      <c r="G8" s="63" t="inlineStr">
        <is>
          <t>Check bộ lọc theo đại lý hiển thị đúng dữ liệu chỉ của đại lý đó</t>
        </is>
      </c>
      <c r="H8" s="71" t="inlineStr">
        <is>
          <t>System Admin đã đăng nhập. Hệ thống có 3 đại lý: "Agency Alpha" (5 pháp nhân ký), "Agency Beta" (2 pháp nhân ký), "Agency Gamma" (4 pháp nhân ký).</t>
        </is>
      </c>
      <c r="I8" s="71" t="inlineStr">
        <is>
          <t>1. Truy cập màn hình AW_AGCY_013
2. Chọn bộ lọc đại lý = "Agency Alpha"
3. Quan sát các chỉ số</t>
        </is>
      </c>
      <c r="J8" s="70" t="inlineStr">
        <is>
          <t>- Chỉ số tổng pháp nhân hiển thị `5` (chỉ của Agency Alpha)
- Chỉ số tổng doanh thu chỉ phản ánh doanh thu từ Agency Alpha
- Biểu đồ chỉ hiển thị xu hướng của Agency Alpha</t>
        </is>
      </c>
      <c r="K8" s="70" t="inlineStr">
        <is>
          <t>Đại lý: Agency Alpha. Pháp nhân ký: 5. Doanh thu: 1,200,000 円.</t>
        </is>
      </c>
      <c r="L8" s="70" t="inlineStr">
        <is>
          <t>High</t>
        </is>
      </c>
      <c r="M8" s="65" t="n"/>
      <c r="N8" s="66" t="n"/>
      <c r="O8" s="81" t="n"/>
      <c r="P8" s="70" t="n"/>
      <c r="Q8" s="65" t="n"/>
      <c r="R8" s="66" t="n"/>
      <c r="S8" s="81" t="n"/>
      <c r="T8" s="70" t="n"/>
      <c r="U8" s="70" t="n"/>
      <c r="V8" s="70" t="n"/>
      <c r="W8" s="70" t="inlineStr"/>
      <c r="X8" s="68" t="n"/>
      <c r="Y8" s="68" t="n"/>
      <c r="Z8" s="68" t="n"/>
      <c r="AA8" s="68" t="n"/>
      <c r="AB8" s="68" t="n"/>
      <c r="AC8" s="68" t="n"/>
      <c r="AD8" s="68" t="n"/>
      <c r="AE8" s="68" t="n"/>
      <c r="AF8" s="68" t="n"/>
      <c r="AG8" s="68" t="n"/>
      <c r="AH8" s="68" t="n"/>
      <c r="AI8" s="68" t="n"/>
      <c r="AJ8" s="69" t="n"/>
    </row>
    <row r="9">
      <c r="A9" s="59">
        <f>row()-2</f>
        <v/>
      </c>
      <c r="B9" s="60" t="inlineStr">
        <is>
          <t>TC_AGCY_DASH_008</t>
        </is>
      </c>
      <c r="C9" s="71" t="inlineStr">
        <is>
          <t>Kết hợp filter kỳ và filter đại lý</t>
        </is>
      </c>
      <c r="D9" s="63" t="inlineStr">
        <is>
          <t>Functional</t>
        </is>
      </c>
      <c r="E9" s="63" t="inlineStr">
        <is>
          <t>High</t>
        </is>
      </c>
      <c r="F9" s="63" t="inlineStr">
        <is>
          <t>AC-11 / AW_AGCY_013</t>
        </is>
      </c>
      <c r="G9" s="63" t="inlineStr">
        <is>
          <t>Check kết hợp 2 bộ lọc (kỳ thời gian + đại lý) cho kết quả đúng</t>
        </is>
      </c>
      <c r="H9" s="71" t="inlineStr">
        <is>
          <t>System Admin đã đăng nhập. Agency Alpha có 5 pháp nhân ký trong Q1/2026 và 3 pháp nhân ký trong Q2/2026.</t>
        </is>
      </c>
      <c r="I9" s="63" t="inlineStr">
        <is>
          <t>1. Truy cập màn hình AW_AGCY_013
2. Chọn filter kỳ = "Q1/2026"
3. Chọn filter đại lý = "Agency Alpha"
4. Quan sát các chỉ số</t>
        </is>
      </c>
      <c r="J9" s="70" t="inlineStr">
        <is>
          <t>- Dữ liệu hiển thị là giao của 2 filter: chỉ Agency Alpha trong Q1/2026
- Chỉ số tổng pháp nhân = `5`
- Thay đổi filter kỳ sang Q2/2026 (giữ Agency Alpha) → chỉ số cập nhật thành `3`</t>
        </is>
      </c>
      <c r="K9" s="70" t="inlineStr">
        <is>
          <t>Filter kỳ: Q1/2026. Filter đại lý: Agency Alpha. Pháp nhân ký Q1/2026: 5. Pháp nhân ký Q2/2026: 3.</t>
        </is>
      </c>
      <c r="L9" s="70" t="inlineStr">
        <is>
          <t>High</t>
        </is>
      </c>
      <c r="M9" s="65" t="n"/>
      <c r="N9" s="66" t="n"/>
      <c r="O9" s="81" t="n"/>
      <c r="P9" s="70" t="n"/>
      <c r="Q9" s="65" t="n"/>
      <c r="R9" s="66" t="n"/>
      <c r="S9" s="81" t="n"/>
      <c r="T9" s="70" t="n"/>
      <c r="U9" s="70" t="n"/>
      <c r="V9" s="70" t="n"/>
      <c r="W9" s="70" t="inlineStr"/>
      <c r="X9" s="68" t="n"/>
      <c r="Y9" s="68" t="n"/>
      <c r="Z9" s="68" t="n"/>
      <c r="AA9" s="68" t="n"/>
      <c r="AB9" s="68" t="n"/>
      <c r="AC9" s="68" t="n"/>
      <c r="AD9" s="68" t="n"/>
      <c r="AE9" s="68" t="n"/>
      <c r="AF9" s="68" t="n"/>
      <c r="AG9" s="68" t="n"/>
      <c r="AH9" s="68" t="n"/>
      <c r="AI9" s="68" t="n"/>
      <c r="AJ9" s="69" t="n"/>
    </row>
    <row r="10">
      <c r="A10" s="59">
        <f>row()-2</f>
        <v/>
      </c>
      <c r="B10" s="60" t="inlineStr">
        <is>
          <t>TC_AGCY_DASH_009</t>
        </is>
      </c>
      <c r="C10" s="71" t="inlineStr">
        <is>
          <t>Reset filter về mặc định</t>
        </is>
      </c>
      <c r="D10" s="63" t="inlineStr">
        <is>
          <t>Functional</t>
        </is>
      </c>
      <c r="E10" s="63" t="inlineStr">
        <is>
          <t>Medium</t>
        </is>
      </c>
      <c r="F10" s="63" t="inlineStr">
        <is>
          <t>AC-11 / AW_AGCY_013</t>
        </is>
      </c>
      <c r="G10" s="63" t="inlineStr">
        <is>
          <t>Check reset bộ lọc đưa dashboard trở về trạng thái hiển thị mặc định</t>
        </is>
      </c>
      <c r="H10" s="71" t="inlineStr">
        <is>
          <t>System Admin đã đăng nhập. Đang ở trạng thái filter kỳ = Q1/2026 và filter đại lý = Agency Alpha.</t>
        </is>
      </c>
      <c r="I10" s="63" t="inlineStr">
        <is>
          <t>1. Từ trạng thái đã filter (kỳ = Q1/2026, đại lý = Agency Alpha)
2. Nhấn nút reset filter (hoặc chọn "Tất cả" ở cả 2 filter)
3. Quan sát</t>
        </is>
      </c>
      <c r="J10" s="70" t="inlineStr">
        <is>
          <t>- Bộ lọc kỳ về giá trị mặc định
- Bộ lọc đại lý về "Tất cả đại lý"
- Các chỉ số và biểu đồ hiển thị toàn bộ dữ liệu (không giới hạn)</t>
        </is>
      </c>
      <c r="K10" s="70" t="inlineStr">
        <is>
          <t>Trạng thái trước reset: kỳ = Q1/2026, đại lý = Agency Alpha.</t>
        </is>
      </c>
      <c r="L10" s="70" t="inlineStr">
        <is>
          <t>Medium</t>
        </is>
      </c>
      <c r="M10" s="65" t="n"/>
      <c r="N10" s="66" t="n"/>
      <c r="O10" s="81" t="n"/>
      <c r="P10" s="70" t="n"/>
      <c r="Q10" s="65" t="n"/>
      <c r="R10" s="66" t="n"/>
      <c r="S10" s="81" t="n"/>
      <c r="T10" s="70" t="n"/>
      <c r="U10" s="70" t="n"/>
      <c r="V10" s="70" t="n"/>
      <c r="W10" s="70" t="inlineStr">
        <is>
          <t>⚠️ Cần BA confirm: có nút "Reset" riêng hay phải chọn lại từng filter về giá trị mặc định?</t>
        </is>
      </c>
      <c r="X10" s="68" t="n"/>
      <c r="Y10" s="68" t="n"/>
      <c r="Z10" s="68" t="n"/>
      <c r="AA10" s="68" t="n"/>
      <c r="AB10" s="68" t="n"/>
      <c r="AC10" s="68" t="n"/>
      <c r="AD10" s="68" t="n"/>
      <c r="AE10" s="68" t="n"/>
      <c r="AF10" s="68" t="n"/>
      <c r="AG10" s="68" t="n"/>
      <c r="AH10" s="68" t="n"/>
      <c r="AI10" s="68" t="n"/>
      <c r="AJ10" s="69" t="n"/>
    </row>
    <row r="11">
      <c r="A11" s="59">
        <f>row()-2</f>
        <v/>
      </c>
      <c r="B11" s="60" t="inlineStr">
        <is>
          <t>TC_AGCY_DASH_010</t>
        </is>
      </c>
      <c r="C11" s="71" t="inlineStr">
        <is>
          <t>Empty state khi chưa có dữ liệu giới thiệu (AF-06)</t>
        </is>
      </c>
      <c r="D11" s="63" t="inlineStr">
        <is>
          <t>Functional</t>
        </is>
      </c>
      <c r="E11" s="63" t="inlineStr">
        <is>
          <t>High</t>
        </is>
      </c>
      <c r="F11" s="63" t="inlineStr">
        <is>
          <t>AC-11 / AW_AGCY_013 / AF-06</t>
        </is>
      </c>
      <c r="G11" s="63" t="inlineStr">
        <is>
          <t>Check màn hình hiển thị empty state thay vì biểu đồ trống khi hệ thống chưa có dữ liệu giới thiệu nào</t>
        </is>
      </c>
      <c r="H11" s="71" t="inlineStr">
        <is>
          <t>System Admin đã đăng nhập. Hệ thống chưa có bất kỳ bản ghi giới thiệu nào (hoặc filter đang chọn không có dữ liệu).</t>
        </is>
      </c>
      <c r="I11" s="63" t="inlineStr">
        <is>
          <t>1. Truy cập màn hình AW_AGCY_013 trong điều kiện không có dữ liệu giới thiệu</t>
        </is>
      </c>
      <c r="J11" s="70" t="inlineStr">
        <is>
          <t>- Màn hình KHÔNG hiển thị biểu đồ trống (trục tọa độ không có điểm dữ liệu)
- Hiển thị empty state (thông báo hoặc illustration)
- Chỉ số tổng pháp nhân = `0`
- Chỉ số tổng doanh thu = `0` (hoặc `0 円`)</t>
        </is>
      </c>
      <c r="K11" s="70" t="inlineStr">
        <is>
          <t>Không có bản ghi giới thiệu trong kỳ/đại lý đang filter.</t>
        </is>
      </c>
      <c r="L11" s="70" t="inlineStr">
        <is>
          <t>High</t>
        </is>
      </c>
      <c r="M11" s="65" t="n"/>
      <c r="N11" s="66" t="n"/>
      <c r="O11" s="81" t="n"/>
      <c r="P11" s="70" t="n"/>
      <c r="Q11" s="65" t="n"/>
      <c r="R11" s="66" t="n"/>
      <c r="S11" s="81" t="n"/>
      <c r="T11" s="70" t="n"/>
      <c r="U11" s="70" t="n"/>
      <c r="V11" s="70" t="n"/>
      <c r="W11" s="70" t="inlineStr">
        <is>
          <t>⚠️ Cần BA confirm: nội dung thông báo empty state cụ thể (text tiếng Nhật hay tiếng Anh?), và có CTA nào trong empty state không?</t>
        </is>
      </c>
      <c r="X11" s="68" t="n"/>
      <c r="Y11" s="68" t="n"/>
      <c r="Z11" s="68" t="n"/>
      <c r="AA11" s="68" t="n"/>
      <c r="AB11" s="68" t="n"/>
      <c r="AC11" s="68" t="n"/>
      <c r="AD11" s="68" t="n"/>
      <c r="AE11" s="68" t="n"/>
      <c r="AF11" s="68" t="n"/>
      <c r="AG11" s="68" t="n"/>
      <c r="AH11" s="68" t="n"/>
      <c r="AI11" s="68" t="n"/>
      <c r="AJ11" s="69" t="n"/>
    </row>
    <row r="12">
      <c r="A12" s="59">
        <f>row()-2</f>
        <v/>
      </c>
      <c r="B12" s="60" t="inlineStr">
        <is>
          <t>TC_AGCY_DASH_011</t>
        </is>
      </c>
      <c r="C12" s="71" t="inlineStr">
        <is>
          <t>Boundary — tháng có 0 dữ liệu nằm giữa chuỗi dữ liệu</t>
        </is>
      </c>
      <c r="D12" s="63" t="inlineStr">
        <is>
          <t>Boundary</t>
        </is>
      </c>
      <c r="E12" s="63" t="inlineStr">
        <is>
          <t>Medium</t>
        </is>
      </c>
      <c r="F12" s="63" t="inlineStr">
        <is>
          <t>AC-11 / AW_AGCY_013</t>
        </is>
      </c>
      <c r="G12" s="63" t="inlineStr">
        <is>
          <t>Check biểu đồ xử lý đúng khi có tháng không có dữ liệu nằm giữa các tháng có dữ liệu</t>
        </is>
      </c>
      <c r="H12" s="71" t="inlineStr">
        <is>
          <t>System Admin đã đăng nhập. Dữ liệu: 01/2026 = 3 pháp nhân, 02/2026 = 0 pháp nhân, 03/2026 = 5 pháp nhân.</t>
        </is>
      </c>
      <c r="I12" s="63" t="inlineStr">
        <is>
          <t>1. Truy cập màn hình AW_AGCY_013
2. Chọn kỳ bao gồm Q1/2026 (hoặc filter 3 tháng 01-03/2026)
3. Quan sát biểu đồ tại điểm tháng 02/2026</t>
        </is>
      </c>
      <c r="J12" s="70" t="inlineStr">
        <is>
          <t>- Biểu đồ vẫn hiển thị điểm/cột cho tháng 02/2026 với giá trị `0`
- Biểu đồ KHÔNG bỏ qua tháng 02/2026 (chuỗi thời gian liên tục)
- Không bị crash hoặc lỗi render</t>
        </is>
      </c>
      <c r="K12" s="70" t="inlineStr">
        <is>
          <t>01/2026: 3 pháp nhân. 02/2026: 0 pháp nhân (không có bản ghi). 03/2026: 5 pháp nhân.</t>
        </is>
      </c>
      <c r="L12" s="70" t="inlineStr">
        <is>
          <t>Medium</t>
        </is>
      </c>
      <c r="M12" s="65" t="n"/>
      <c r="N12" s="66" t="n"/>
      <c r="O12" s="81" t="n"/>
      <c r="P12" s="70" t="n"/>
      <c r="Q12" s="65" t="n"/>
      <c r="R12" s="66" t="n"/>
      <c r="S12" s="81" t="n"/>
      <c r="T12" s="70" t="n"/>
      <c r="U12" s="70" t="n"/>
      <c r="V12" s="70" t="n"/>
      <c r="W12" s="70" t="inlineStr"/>
      <c r="X12" s="68" t="n"/>
      <c r="Y12" s="68" t="n"/>
      <c r="Z12" s="68" t="n"/>
      <c r="AA12" s="68" t="n"/>
      <c r="AB12" s="68" t="n"/>
      <c r="AC12" s="68" t="n"/>
      <c r="AD12" s="68" t="n"/>
      <c r="AE12" s="68" t="n"/>
      <c r="AF12" s="68" t="n"/>
      <c r="AG12" s="68" t="n"/>
      <c r="AH12" s="68" t="n"/>
      <c r="AI12" s="68" t="n"/>
      <c r="AJ12" s="69" t="n"/>
    </row>
    <row r="13">
      <c r="A13" s="59">
        <f>row()-2</f>
        <v/>
      </c>
      <c r="B13" s="60" t="inlineStr">
        <is>
          <t>TC_AGCY_DASH_012</t>
        </is>
      </c>
      <c r="C13" s="71" t="inlineStr">
        <is>
          <t>Boundary — filter đại lý không có dữ liệu trong kỳ</t>
        </is>
      </c>
      <c r="D13" s="63" t="inlineStr">
        <is>
          <t>Boundary</t>
        </is>
      </c>
      <c r="E13" s="63" t="inlineStr">
        <is>
          <t>Medium</t>
        </is>
      </c>
      <c r="F13" s="63" t="inlineStr">
        <is>
          <t>AC-11 / AW_AGCY_013</t>
        </is>
      </c>
      <c r="G13" s="63" t="inlineStr">
        <is>
          <t>Check hiển thị khi đại lý được chọn không có bất kỳ dữ liệu nào trong kỳ đang lọc</t>
        </is>
      </c>
      <c r="H13" s="71" t="inlineStr">
        <is>
          <t>System Admin đã đăng nhập. Agency Gamma mới đăng ký trong 2026/07, chưa có referral nào. Filter kỳ = Q1/2026.</t>
        </is>
      </c>
      <c r="I13" s="63" t="inlineStr">
        <is>
          <t>1. Truy cập màn hình AW_AGCY_013
2. Chọn filter kỳ = "Q1/2026"
3. Chọn filter đại lý = "Agency Gamma" (không có data trong Q1/2026)</t>
        </is>
      </c>
      <c r="J13" s="70" t="inlineStr">
        <is>
          <t>- Dashboard chuyển sang empty state (như AF-06)
- Chỉ số = 0
- Không hiển thị lỗi hoặc crash</t>
        </is>
      </c>
      <c r="K13" s="70" t="inlineStr">
        <is>
          <t>Filter kỳ: Q1/2026. Đại lý: Agency Gamma (đăng ký 07/2026, không có data trong Q1).</t>
        </is>
      </c>
      <c r="L13" s="70" t="inlineStr">
        <is>
          <t>Medium</t>
        </is>
      </c>
      <c r="M13" s="65" t="n"/>
      <c r="N13" s="66" t="n"/>
      <c r="O13" s="81" t="n"/>
      <c r="P13" s="70" t="n"/>
      <c r="Q13" s="65" t="n"/>
      <c r="R13" s="66" t="n"/>
      <c r="S13" s="81" t="n"/>
      <c r="T13" s="70" t="n"/>
      <c r="U13" s="70" t="n"/>
      <c r="V13" s="70" t="n"/>
      <c r="W13" s="70" t="inlineStr"/>
      <c r="X13" s="68" t="n"/>
      <c r="Y13" s="68" t="n"/>
      <c r="Z13" s="68" t="n"/>
      <c r="AA13" s="68" t="n"/>
      <c r="AB13" s="68" t="n"/>
      <c r="AC13" s="68" t="n"/>
      <c r="AD13" s="68" t="n"/>
      <c r="AE13" s="68" t="n"/>
      <c r="AF13" s="68" t="n"/>
      <c r="AG13" s="68" t="n"/>
      <c r="AH13" s="68" t="n"/>
      <c r="AI13" s="68" t="n"/>
      <c r="AJ13" s="69" t="n"/>
    </row>
    <row r="14">
      <c r="A14" s="59">
        <f>row()-2</f>
        <v/>
      </c>
      <c r="B14" s="60" t="inlineStr">
        <is>
          <t>TC_AGCY_DASH_013</t>
        </is>
      </c>
      <c r="C14" s="71" t="inlineStr">
        <is>
          <t>Tính nhất quán — đối chiếu với module Referral</t>
        </is>
      </c>
      <c r="D14" s="63" t="inlineStr">
        <is>
          <t>Functional</t>
        </is>
      </c>
      <c r="E14" s="63" t="inlineStr">
        <is>
          <t>High</t>
        </is>
      </c>
      <c r="F14" s="63" t="inlineStr">
        <is>
          <t>AC-11 / AW_AGCY_013</t>
        </is>
      </c>
      <c r="G14" s="63" t="inlineStr">
        <is>
          <t>Check số liệu trên dashboard nhất quán với tổng số trong module Referral List (AW_AGCY_008)</t>
        </is>
      </c>
      <c r="H14" s="71" t="inlineStr">
        <is>
          <t>System Admin đã đăng nhập. Có 12 pháp nhân có trạng thái "Ký" trong module Referral.</t>
        </is>
      </c>
      <c r="I14" s="63" t="inlineStr">
        <is>
          <t>1. Ghi nhận tổng số pháp nhân "Ký" từ màn hình AW_AGCY_008 (Referral List)
2. Truy cập màn hình AW_AGCY_013 (không filter theo đại lý)
3. Đọc chỉ số tổng số pháp nhân giới thiệu thành công</t>
        </is>
      </c>
      <c r="J14" s="70" t="inlineStr">
        <is>
          <t>- Giá trị trên dashboard (chỉ số tổng pháp nhân) = tổng bản ghi "Ký" từ AW_AGCY_008
- Hai con số khớp nhau</t>
        </is>
      </c>
      <c r="K14" s="70" t="inlineStr">
        <is>
          <t>Tổng pháp nhân "Ký" trong AW_AGCY_008: 12. Kỳ vọng dashboard: 12.</t>
        </is>
      </c>
      <c r="L14" s="70" t="inlineStr">
        <is>
          <t>High</t>
        </is>
      </c>
      <c r="M14" s="65" t="n"/>
      <c r="N14" s="66" t="n"/>
      <c r="O14" s="81" t="n"/>
      <c r="P14" s="70" t="n"/>
      <c r="Q14" s="65" t="n"/>
      <c r="R14" s="66" t="n"/>
      <c r="S14" s="81" t="n"/>
      <c r="T14" s="70" t="n"/>
      <c r="U14" s="70" t="n"/>
      <c r="V14" s="70" t="n"/>
      <c r="W14" s="70" t="inlineStr">
        <is>
          <t>⚠️ Cần BA confirm: chỉ số dashboard tính toàn thời gian hay phụ thuộc filter kỳ đang chọn?</t>
        </is>
      </c>
      <c r="X14" s="68" t="n"/>
      <c r="Y14" s="68" t="n"/>
      <c r="Z14" s="68" t="n"/>
      <c r="AA14" s="68" t="n"/>
      <c r="AB14" s="68" t="n"/>
      <c r="AC14" s="68" t="n"/>
      <c r="AD14" s="68" t="n"/>
      <c r="AE14" s="68" t="n"/>
      <c r="AF14" s="68" t="n"/>
      <c r="AG14" s="68" t="n"/>
      <c r="AH14" s="68" t="n"/>
      <c r="AI14" s="68" t="n"/>
      <c r="AJ14" s="69" t="n"/>
    </row>
    <row r="15">
      <c r="A15" s="59">
        <f>row()-2</f>
        <v/>
      </c>
      <c r="B15" s="60" t="inlineStr">
        <is>
          <t>TC_AGCY_DASH_014</t>
        </is>
      </c>
      <c r="C15" s="71" t="inlineStr">
        <is>
          <t>Tính nhất quán — đối chiếu doanh thu với module Sales</t>
        </is>
      </c>
      <c r="D15" s="63" t="inlineStr">
        <is>
          <t>Functional</t>
        </is>
      </c>
      <c r="E15" s="63" t="inlineStr">
        <is>
          <t>High</t>
        </is>
      </c>
      <c r="F15" s="63" t="inlineStr">
        <is>
          <t>AC-11 / AW_AGCY_013</t>
        </is>
      </c>
      <c r="G15" s="63" t="inlineStr">
        <is>
          <t>Check tổng doanh thu trên dashboard khớp với tổng doanh thu trong màn hình Doanh số theo Đại lý (AW_AGCY_010)</t>
        </is>
      </c>
      <c r="H15" s="71" t="inlineStr">
        <is>
          <t>System Admin đã đăng nhập. AW_AGCY_010 đang hiển thị tổng doanh thu tất cả đại lý.</t>
        </is>
      </c>
      <c r="I15" s="63" t="inlineStr">
        <is>
          <t>1. Truy cập AW_AGCY_010, đọc tổng doanh thu tất cả đại lý
2. Truy cập AW_AGCY_013, không filter theo đại lý
3. Đọc chỉ số tổng doanh thu từ kênh giới thiệu</t>
        </is>
      </c>
      <c r="J15" s="70" t="inlineStr">
        <is>
          <t>- Giá trị tổng doanh thu trên AW_AGCY_013 = tổng doanh thu trong AW_AGCY_010
- Hai con số không chênh lệch</t>
        </is>
      </c>
      <c r="K15" s="70" t="inlineStr">
        <is>
          <t>Tổng doanh thu AW_AGCY_010: 2,500,000 円. Kỳ vọng dashboard: 2,500,000 円.</t>
        </is>
      </c>
      <c r="L15" s="70" t="inlineStr">
        <is>
          <t>High</t>
        </is>
      </c>
      <c r="M15" s="65" t="n"/>
      <c r="N15" s="66" t="n"/>
      <c r="O15" s="81" t="n"/>
      <c r="P15" s="70" t="n"/>
      <c r="Q15" s="65" t="n"/>
      <c r="R15" s="66" t="n"/>
      <c r="S15" s="81" t="n"/>
      <c r="T15" s="70" t="n"/>
      <c r="U15" s="70" t="n"/>
      <c r="V15" s="70" t="n"/>
      <c r="W15" s="70" t="inlineStr">
        <is>
          <t>⚠️ Cần BA confirm: phạm vi doanh thu tính trên dashboard có khác với AW_AGCY_010 không (ví dụ: chỉ tính doanh thu từ pháp nhân đã "Ký", không tính "Đang đàm phán")?</t>
        </is>
      </c>
      <c r="X15" s="68" t="n"/>
      <c r="Y15" s="68" t="n"/>
      <c r="Z15" s="68" t="n"/>
      <c r="AA15" s="68" t="n"/>
      <c r="AB15" s="68" t="n"/>
      <c r="AC15" s="68" t="n"/>
      <c r="AD15" s="68" t="n"/>
      <c r="AE15" s="68" t="n"/>
      <c r="AF15" s="68" t="n"/>
      <c r="AG15" s="68" t="n"/>
      <c r="AH15" s="68" t="n"/>
      <c r="AI15" s="68" t="n"/>
      <c r="AJ15" s="69" t="n"/>
    </row>
    <row r="16">
      <c r="A16" s="59">
        <f>row()-2</f>
        <v/>
      </c>
      <c r="B16" s="60" t="inlineStr">
        <is>
          <t>TC_AGCY_DASH_015</t>
        </is>
      </c>
      <c r="C16" s="71" t="inlineStr">
        <is>
          <t>Permission — user không có role System Admin bị chặn</t>
        </is>
      </c>
      <c r="D16" s="63" t="inlineStr">
        <is>
          <t>Permission</t>
        </is>
      </c>
      <c r="E16" s="63" t="inlineStr">
        <is>
          <t>High</t>
        </is>
      </c>
      <c r="F16" s="63" t="inlineStr">
        <is>
          <t>AC-11 / AW_AGCY_013</t>
        </is>
      </c>
      <c r="G16" s="63" t="inlineStr">
        <is>
          <t>Check user không phải System Admin không thể truy cập màn hình Dashboard</t>
        </is>
      </c>
      <c r="H16" s="63" t="inlineStr">
        <is>
          <t>Có tài khoản test với role không phải System Admin (ví dụ: role Company Admin E02).</t>
        </is>
      </c>
      <c r="I16" s="63" t="inlineStr">
        <is>
          <t>1. Đăng nhập với tài khoản non-System-Admin
2. Cố truy cập trực tiếp URL của màn hình AW_AGCY_013</t>
        </is>
      </c>
      <c r="J16" s="70" t="inlineStr">
        <is>
          <t>- Hệ thống từ chối truy cập
- Hiển thị lỗi 401/403 hoặc redirect về trang đăng nhập hoặc trang "Không có quyền"
- Không hiển thị dữ liệu agency</t>
        </is>
      </c>
      <c r="K16" s="70" t="inlineStr">
        <is>
          <t>Tài khoản: test_company_admin@eskitchen.test (role E02, không phải E03).</t>
        </is>
      </c>
      <c r="L16" s="70" t="inlineStr">
        <is>
          <t>High</t>
        </is>
      </c>
      <c r="M16" s="65" t="n"/>
      <c r="N16" s="66" t="n"/>
      <c r="O16" s="81" t="n"/>
      <c r="P16" s="70" t="n"/>
      <c r="Q16" s="65" t="n"/>
      <c r="R16" s="66" t="n"/>
      <c r="S16" s="81" t="n"/>
      <c r="T16" s="70" t="n"/>
      <c r="U16" s="70" t="n"/>
      <c r="V16" s="70" t="n"/>
      <c r="W16" s="70" t="inlineStr"/>
      <c r="X16" s="68" t="n"/>
      <c r="Y16" s="68" t="n"/>
      <c r="Z16" s="68" t="n"/>
      <c r="AA16" s="68" t="n"/>
      <c r="AB16" s="68" t="n"/>
      <c r="AC16" s="68" t="n"/>
      <c r="AD16" s="68" t="n"/>
      <c r="AE16" s="68" t="n"/>
      <c r="AF16" s="68" t="n"/>
      <c r="AG16" s="68" t="n"/>
      <c r="AH16" s="68" t="n"/>
      <c r="AI16" s="68" t="n"/>
      <c r="AJ16" s="69" t="n"/>
    </row>
    <row r="17">
      <c r="A17" s="59">
        <f>row()-2</f>
        <v/>
      </c>
      <c r="B17" s="60" t="inlineStr">
        <is>
          <t>TC_AGCY_DASH_016</t>
        </is>
      </c>
      <c r="C17" s="71" t="inlineStr">
        <is>
          <t>Permission — truy cập khi JWT hết hạn</t>
        </is>
      </c>
      <c r="D17" s="63" t="inlineStr">
        <is>
          <t>Permission</t>
        </is>
      </c>
      <c r="E17" s="63" t="inlineStr">
        <is>
          <t>High</t>
        </is>
      </c>
      <c r="F17" s="63" t="inlineStr">
        <is>
          <t>AC-11 / AW_AGCY_013</t>
        </is>
      </c>
      <c r="G17" s="63" t="inlineStr">
        <is>
          <t>Check dashboard từ chối hiển thị khi token JWT của System Admin đã hết hạn</t>
        </is>
      </c>
      <c r="H17" s="63" t="inlineStr">
        <is>
          <t>Có tài khoản System Admin. JWT đã hết hạn (hoặc bị revoke).</t>
        </is>
      </c>
      <c r="I17" s="63" t="inlineStr">
        <is>
          <t>1. Đăng nhập với System Admin
2. Để JWT hết hạn (hoặc xóa token trong browser)
3. Truy cập màn hình AW_AGCY_013</t>
        </is>
      </c>
      <c r="J17" s="70" t="inlineStr">
        <is>
          <t>- Hệ thống redirect về trang đăng nhập
- Không trả về dữ liệu dashboard
- Hiển thị thông báo phù hợp (session hết hạn)</t>
        </is>
      </c>
      <c r="K17" s="70" t="inlineStr">
        <is>
          <t>JWT hết hạn hoặc token bị xóa khỏi storage.</t>
        </is>
      </c>
      <c r="L17" s="70" t="inlineStr">
        <is>
          <t>High</t>
        </is>
      </c>
      <c r="M17" s="65" t="n"/>
      <c r="N17" s="66" t="n"/>
      <c r="O17" s="81" t="n"/>
      <c r="P17" s="70" t="n"/>
      <c r="Q17" s="65" t="n"/>
      <c r="R17" s="66" t="n"/>
      <c r="S17" s="81" t="n"/>
      <c r="T17" s="70" t="n"/>
      <c r="U17" s="81" t="n"/>
      <c r="V17" s="81" t="n"/>
      <c r="W17" s="81" t="inlineStr"/>
      <c r="X17" s="68" t="n"/>
      <c r="Y17" s="68" t="n"/>
      <c r="Z17" s="68" t="n"/>
      <c r="AA17" s="68" t="n"/>
      <c r="AB17" s="68" t="n"/>
      <c r="AC17" s="68" t="n"/>
      <c r="AD17" s="68" t="n"/>
      <c r="AE17" s="68" t="n"/>
      <c r="AF17" s="68" t="n"/>
      <c r="AG17" s="68" t="n"/>
      <c r="AH17" s="68" t="n"/>
      <c r="AI17" s="68" t="n"/>
      <c r="AJ17" s="69" t="n"/>
    </row>
    <row r="18">
      <c r="A18" s="59">
        <f>row()-2</f>
        <v/>
      </c>
      <c r="B18" s="60" t="inlineStr">
        <is>
          <t>TC_AGCY_DASH_017</t>
        </is>
      </c>
      <c r="C18" s="71" t="inlineStr">
        <is>
          <t>Filter "Tất cả đại lý" — tổng hợp toàn bộ hệ thống</t>
        </is>
      </c>
      <c r="D18" s="63" t="inlineStr">
        <is>
          <t>Functional</t>
        </is>
      </c>
      <c r="E18" s="63" t="inlineStr">
        <is>
          <t>Medium</t>
        </is>
      </c>
      <c r="F18" s="63" t="inlineStr">
        <is>
          <t>AC-11 / AW_AGCY_013</t>
        </is>
      </c>
      <c r="G18" s="63" t="inlineStr">
        <is>
          <t>Check khi không filter theo đại lý cụ thể, dashboard hiển thị tổng hợp tất cả đại lý</t>
        </is>
      </c>
      <c r="H18" s="63" t="inlineStr">
        <is>
          <t>System Admin đã đăng nhập. Hệ thống có 3 đại lý đang hoạt động với tổng cộng 11 pháp nhân ký.</t>
        </is>
      </c>
      <c r="I18" s="63" t="inlineStr">
        <is>
          <t>1. Truy cập màn hình AW_AGCY_013
2. Đảm bảo filter đại lý = "Tất cả" (hoặc không chọn cụ thể)
3. Đọc chỉ số tổng pháp nhân</t>
        </is>
      </c>
      <c r="J18" s="70" t="inlineStr">
        <is>
          <t>- Chỉ số hiển thị tổng hợp của TẤT CẢ đại lý = 11
- Biểu đồ bao gồm contribution của cả 3 đại lý</t>
        </is>
      </c>
      <c r="K18" s="70" t="inlineStr">
        <is>
          <t>Agency Alpha: 5 pháp nhân. Agency Beta: 2 pháp nhân. Agency Gamma: 4 pháp nhân. Tổng: 11.</t>
        </is>
      </c>
      <c r="L18" s="70" t="inlineStr">
        <is>
          <t>Medium</t>
        </is>
      </c>
      <c r="M18" s="65" t="n"/>
      <c r="N18" s="66" t="n"/>
      <c r="O18" s="81" t="n"/>
      <c r="P18" s="70" t="n"/>
      <c r="Q18" s="65" t="n"/>
      <c r="R18" s="66" t="n"/>
      <c r="S18" s="81" t="n"/>
      <c r="T18" s="70" t="n"/>
      <c r="U18" s="81" t="n"/>
      <c r="V18" s="81" t="n"/>
      <c r="W18" s="81" t="inlineStr"/>
      <c r="X18" s="68" t="n"/>
      <c r="Y18" s="68" t="n"/>
      <c r="Z18" s="68" t="n"/>
      <c r="AA18" s="68" t="n"/>
      <c r="AB18" s="68" t="n"/>
      <c r="AC18" s="68" t="n"/>
      <c r="AD18" s="68" t="n"/>
      <c r="AE18" s="68" t="n"/>
      <c r="AF18" s="68" t="n"/>
      <c r="AG18" s="68" t="n"/>
      <c r="AH18" s="68" t="n"/>
      <c r="AI18" s="68" t="n"/>
      <c r="AJ18" s="69" t="n"/>
    </row>
    <row r="19">
      <c r="A19" s="59">
        <f>row()-2</f>
        <v/>
      </c>
      <c r="B19" s="60" t="n"/>
      <c r="C19" s="71" t="n"/>
      <c r="D19" s="63" t="n"/>
      <c r="E19" s="63" t="n"/>
      <c r="F19" s="63" t="n"/>
      <c r="G19" s="63" t="n"/>
      <c r="H19" s="71" t="n"/>
      <c r="I19" s="63" t="n"/>
      <c r="J19" s="70" t="n"/>
      <c r="K19" s="70" t="n"/>
      <c r="L19" s="70" t="n"/>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n"/>
      <c r="C20" s="71" t="n"/>
      <c r="D20" s="63" t="n"/>
      <c r="E20" s="63" t="n"/>
      <c r="F20" s="63" t="n"/>
      <c r="G20" s="63" t="n"/>
      <c r="H20" s="71" t="n"/>
      <c r="I20" s="63" t="n"/>
      <c r="J20" s="70" t="n"/>
      <c r="K20" s="70" t="n"/>
      <c r="L20" s="70" t="n"/>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n"/>
      <c r="C21" s="71" t="n"/>
      <c r="D21" s="63" t="n"/>
      <c r="E21" s="63" t="n"/>
      <c r="F21" s="63" t="n"/>
      <c r="G21" s="63" t="n"/>
      <c r="H21" s="71" t="n"/>
      <c r="I21" s="63" t="n"/>
      <c r="J21" s="70" t="n"/>
      <c r="K21" s="70" t="n"/>
      <c r="L21" s="70" t="n"/>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n"/>
      <c r="C22" s="71" t="n"/>
      <c r="D22" s="63" t="n"/>
      <c r="E22" s="63" t="n"/>
      <c r="F22" s="63" t="n"/>
      <c r="G22" s="63" t="n"/>
      <c r="H22" s="71" t="n"/>
      <c r="I22" s="63" t="n"/>
      <c r="J22" s="70" t="n"/>
      <c r="K22" s="70" t="n"/>
      <c r="L22" s="70" t="n"/>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n"/>
      <c r="C23" s="71" t="n"/>
      <c r="D23" s="63" t="n"/>
      <c r="E23" s="63" t="n"/>
      <c r="F23" s="63" t="n"/>
      <c r="G23" s="71" t="n"/>
      <c r="H23" s="71" t="n"/>
      <c r="I23" s="71" t="n"/>
      <c r="J23" s="70" t="n"/>
      <c r="K23" s="70" t="n"/>
      <c r="L23" s="70" t="n"/>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8.xml><?xml version="1.0" encoding="utf-8"?>
<worksheet xmlns="http://schemas.openxmlformats.org/spreadsheetml/2006/main">
  <sheetPr>
    <outlinePr summaryBelow="0" summaryRight="0"/>
    <pageSetUpPr/>
  </sheetPr>
  <dimension ref="B2:D11"/>
  <sheetViews>
    <sheetView workbookViewId="0">
      <selection activeCell="A1" sqref="A1"/>
    </sheetView>
  </sheetViews>
  <sheetFormatPr baseColWidth="8" defaultColWidth="12.63" defaultRowHeight="15.75" customHeight="1"/>
  <cols>
    <col width="3.13" customWidth="1" style="93" min="1" max="1"/>
    <col width="55.38" customWidth="1" style="93" min="3" max="3"/>
    <col width="144.63" customWidth="1" style="93" min="4" max="4"/>
  </cols>
  <sheetData>
    <row r="2">
      <c r="B2" s="88" t="inlineStr">
        <is>
          <t>No</t>
        </is>
      </c>
      <c r="C2" s="88" t="inlineStr">
        <is>
          <t>Test Scenario</t>
        </is>
      </c>
      <c r="D2" s="89" t="inlineStr">
        <is>
          <t>Evidence</t>
        </is>
      </c>
    </row>
    <row r="3" ht="277.5" customHeight="1" s="93">
      <c r="B3" s="90" t="n"/>
      <c r="C3" s="91" t="n"/>
      <c r="D3" s="92" t="n"/>
    </row>
    <row r="4" ht="277.5" customHeight="1" s="93">
      <c r="B4" s="90" t="n"/>
      <c r="C4" s="91" t="n"/>
      <c r="D4" s="92" t="n"/>
    </row>
    <row r="5" ht="277.5" customHeight="1" s="93">
      <c r="B5" s="90" t="n"/>
      <c r="C5" s="91" t="n"/>
      <c r="D5" s="92" t="n"/>
    </row>
    <row r="6" ht="277.5" customHeight="1" s="93">
      <c r="B6" s="90" t="n"/>
      <c r="C6" s="91" t="n"/>
      <c r="D6" s="92" t="n"/>
    </row>
    <row r="7" ht="277.5" customHeight="1" s="93">
      <c r="B7" s="90" t="n"/>
      <c r="C7" s="91" t="n"/>
      <c r="D7" s="92" t="n"/>
    </row>
    <row r="8" ht="277.5" customHeight="1" s="93">
      <c r="B8" s="90" t="n"/>
      <c r="C8" s="91" t="n"/>
      <c r="D8" s="92" t="n"/>
    </row>
    <row r="9" ht="277.5" customHeight="1" s="93">
      <c r="B9" s="90" t="n"/>
      <c r="C9" s="91" t="n"/>
      <c r="D9" s="92" t="n"/>
    </row>
    <row r="10" ht="277.5" customHeight="1" s="93">
      <c r="B10" s="90" t="n"/>
      <c r="C10" s="91" t="n"/>
      <c r="D10" s="92" t="n"/>
    </row>
    <row r="11" ht="277.5" customHeight="1" s="93">
      <c r="B11" s="90" t="n"/>
      <c r="C11" s="91" t="n"/>
      <c r="D11" s="92"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
  <sheetViews>
    <sheetView showGridLines="1" workbookViewId="0">
      <pane ySplit="3" topLeftCell="A4" activePane="bottomLeft" state="frozen"/>
      <selection pane="bottomLeft" activeCell="A1" sqref="A1"/>
    </sheetView>
  </sheetViews>
  <sheetFormatPr baseColWidth="8" defaultRowHeight="15"/>
  <cols>
    <col width="55" customWidth="1" style="93" min="1" max="1"/>
    <col width="16.5" customWidth="1" style="93" min="2" max="2"/>
    <col width="13.2" customWidth="1" style="93" min="3" max="3"/>
    <col width="10" customWidth="1" style="93" min="4" max="4"/>
  </cols>
  <sheetData>
    <row r="1">
      <c r="A1" s="102" t="inlineStr">
        <is>
          <t>&gt; **Feature:** `agency-management` — BF_[ĐẠI LÝ] Quản lý Đại lý
&gt; **Epic:** E03 — System Admin (`es-kitchen-web-admin` + `es-kitchen-api`)
&gt; **Actor:** System Admin (JWT hợp lệ, role System Admin)
&gt; **Nguồn:** `es-kitchen-docs/docs/features/agency-management/SPEC.md`
&gt; **Mode:** RBT · **Ngày:** 2026-09-21
&gt; **⚠️ Figma:** MCP Figma chưa xác thực trong session sinh TC — toàn bộ TC dựa trên SPEC.md.
&gt;   Chưa verify chi tiết visual (màu / px / label tiếng Nhật). Cần bổ sung TC Visual States sau khi có Figma.
&gt; **Tổng:** 125 TC / 5 module · 51 Open Questions cần BA confirm</t>
        </is>
      </c>
    </row>
    <row r="2"/>
    <row r="3" ht="24" customHeight="1" s="93">
      <c r="A3" s="103" t="inlineStr">
        <is>
          <t>Module</t>
        </is>
      </c>
      <c r="B3" s="103" t="inlineStr">
        <is>
          <t>Screens</t>
        </is>
      </c>
      <c r="C3" s="103" t="inlineStr">
        <is>
          <t>AC cover</t>
        </is>
      </c>
      <c r="D3" s="103" t="inlineStr">
        <is>
          <t>Số TC</t>
        </is>
      </c>
    </row>
    <row r="4">
      <c r="A4" s="104" t="inlineStr">
        <is>
          <t>1. Agency List &amp; Registration</t>
        </is>
      </c>
      <c r="B4" s="104" t="inlineStr">
        <is>
          <t>AW_AGCY_001-002</t>
        </is>
      </c>
      <c r="C4" s="104" t="inlineStr">
        <is>
          <t>AC-01, AC-02</t>
        </is>
      </c>
      <c r="D4" s="104" t="inlineStr">
        <is>
          <t>26</t>
        </is>
      </c>
    </row>
    <row r="5">
      <c r="A5" s="104" t="inlineStr">
        <is>
          <t>2. Agency Detail 5 Tabs</t>
        </is>
      </c>
      <c r="B5" s="104" t="inlineStr">
        <is>
          <t>AW_AGCY_003-007</t>
        </is>
      </c>
      <c r="C5" s="104" t="inlineStr">
        <is>
          <t>AC-10</t>
        </is>
      </c>
      <c r="D5" s="104" t="inlineStr">
        <is>
          <t>31</t>
        </is>
      </c>
    </row>
    <row r="6">
      <c r="A6" s="104" t="inlineStr">
        <is>
          <t>3. Referral Management</t>
        </is>
      </c>
      <c r="B6" s="104" t="inlineStr">
        <is>
          <t>AW_AGCY_008-009</t>
        </is>
      </c>
      <c r="C6" s="104" t="inlineStr">
        <is>
          <t>AC-03, AC-04</t>
        </is>
      </c>
      <c r="D6" s="104" t="inlineStr">
        <is>
          <t>20</t>
        </is>
      </c>
    </row>
    <row r="7">
      <c r="A7" s="104" t="inlineStr">
        <is>
          <t>4. Sales &amp; Fee Payment</t>
        </is>
      </c>
      <c r="B7" s="104" t="inlineStr">
        <is>
          <t>AW_AGCY_010-012</t>
        </is>
      </c>
      <c r="C7" s="104" t="inlineStr">
        <is>
          <t>AC-05..AC-09</t>
        </is>
      </c>
      <c r="D7" s="104" t="inlineStr">
        <is>
          <t>31</t>
        </is>
      </c>
    </row>
    <row r="8">
      <c r="A8" s="104" t="inlineStr">
        <is>
          <t>5. Referral Dashboard</t>
        </is>
      </c>
      <c r="B8" s="104" t="inlineStr">
        <is>
          <t>AW_AGCY_013</t>
        </is>
      </c>
      <c r="C8" s="104" t="inlineStr">
        <is>
          <t>AC-11</t>
        </is>
      </c>
      <c r="D8" s="104" t="inlineStr">
        <is>
          <t>17</t>
        </is>
      </c>
    </row>
    <row r="9"/>
    <row r="10">
      <c r="A10" s="102"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8"/>
  <sheetViews>
    <sheetView showGridLines="1" workbookViewId="0">
      <pane ySplit="1" topLeftCell="A2" activePane="bottomLeft" state="frozen"/>
      <selection pane="bottomLeft" activeCell="A1" sqref="A1"/>
    </sheetView>
  </sheetViews>
  <sheetFormatPr baseColWidth="8" defaultRowHeight="15"/>
  <cols>
    <col width="55" customWidth="1" style="93" min="1" max="1"/>
    <col width="28.6" customWidth="1" style="93" min="2" max="2"/>
    <col width="55" customWidth="1" style="93" min="3" max="3"/>
  </cols>
  <sheetData>
    <row r="1" ht="24" customHeight="1" s="93">
      <c r="A1" s="103" t="inlineStr">
        <is>
          <t>AC ID</t>
        </is>
      </c>
      <c r="B1" s="103" t="inlineStr">
        <is>
          <t>Module</t>
        </is>
      </c>
      <c r="C1" s="103" t="inlineStr">
        <is>
          <t>TC IDs cover</t>
        </is>
      </c>
    </row>
    <row r="2">
      <c r="A2" s="104" t="inlineStr">
        <is>
          <t>AC-01</t>
        </is>
      </c>
      <c r="B2" s="104" t="inlineStr">
        <is>
          <t>Agency List &amp; Registration</t>
        </is>
      </c>
      <c r="C2" s="104" t="inlineStr">
        <is>
          <t>TC_AGCY_LIST_001, TC_AGCY_LIST_002, TC_AGCY_LIST_003, TC_AGCY_LIST_004, TC_AGCY_LIST_005, TC_AGCY_LIST_006, TC_AGCY_LIST_007, TC_AGCY_LIST_008, TC_AGCY_LIST_009, TC_AGCY_LIST_010, TC_AGCY_LIST_011</t>
        </is>
      </c>
    </row>
    <row r="3">
      <c r="A3" s="104" t="inlineStr">
        <is>
          <t>AC-02</t>
        </is>
      </c>
      <c r="B3" s="104" t="inlineStr">
        <is>
          <t>Agency List &amp; Registration</t>
        </is>
      </c>
      <c r="C3" s="104" t="inlineStr">
        <is>
          <t>TC_AGCY_LIST_012, TC_AGCY_LIST_013, TC_AGCY_LIST_014, TC_AGCY_LIST_015, TC_AGCY_LIST_016, TC_AGCY_LIST_017, TC_AGCY_LIST_018, TC_AGCY_LIST_019, TC_AGCY_LIST_020, TC_AGCY_LIST_021, TC_AGCY_LIST_022, TC_AGCY_LIST_023, TC_AGCY_LIST_024, TC_AGCY_LIST_025, TC_AGCY_LIST_026</t>
        </is>
      </c>
    </row>
    <row r="4">
      <c r="A4" s="104" t="inlineStr">
        <is>
          <t>AC-10 (Basic Information tab)</t>
        </is>
      </c>
      <c r="B4" s="104" t="inlineStr">
        <is>
          <t>Agency Detail 5 Tabs</t>
        </is>
      </c>
      <c r="C4" s="104" t="inlineStr">
        <is>
          <t>TC_AGCY_DTL_001, TC_AGCY_DTL_002, TC_AGCY_DTL_003, TC_AGCY_DTL_004, TC_AGCY_DTL_005, TC_AGCY_DTL_006</t>
        </is>
      </c>
    </row>
    <row r="5">
      <c r="A5" s="104" t="inlineStr">
        <is>
          <t>AC-10 (Contract &amp; Compensation Settings tab)</t>
        </is>
      </c>
      <c r="B5" s="104" t="inlineStr">
        <is>
          <t>Agency Detail 5 Tabs</t>
        </is>
      </c>
      <c r="C5" s="104" t="inlineStr">
        <is>
          <t>TC_AGCY_DTL_009, TC_AGCY_DTL_010, TC_AGCY_DTL_011, TC_AGCY_DTL_015, TC_AGCY_DTL_016</t>
        </is>
      </c>
    </row>
    <row r="6">
      <c r="A6" s="104" t="inlineStr">
        <is>
          <t>AC-10 (Performance Summary tab)</t>
        </is>
      </c>
      <c r="B6" s="104" t="inlineStr">
        <is>
          <t>Agency Detail 5 Tabs</t>
        </is>
      </c>
      <c r="C6" s="104" t="inlineStr">
        <is>
          <t>TC_AGCY_DTL_017, TC_AGCY_DTL_018, TC_AGCY_DTL_019, TC_AGCY_DTL_020, TC_AGCY_DTL_021</t>
        </is>
      </c>
    </row>
    <row r="7">
      <c r="A7" s="104" t="inlineStr">
        <is>
          <t>AC-10 (Referral History tab)</t>
        </is>
      </c>
      <c r="B7" s="104" t="inlineStr">
        <is>
          <t>Agency Detail 5 Tabs</t>
        </is>
      </c>
      <c r="C7" s="104" t="inlineStr">
        <is>
          <t>TC_AGCY_DTL_022, TC_AGCY_DTL_023, TC_AGCY_DTL_024, TC_AGCY_DTL_025, TC_AGCY_DTL_026</t>
        </is>
      </c>
    </row>
    <row r="8">
      <c r="A8" s="104" t="inlineStr">
        <is>
          <t>AC-10 (Payment History tab)</t>
        </is>
      </c>
      <c r="B8" s="104" t="inlineStr">
        <is>
          <t>Agency Detail 5 Tabs</t>
        </is>
      </c>
      <c r="C8" s="104" t="inlineStr">
        <is>
          <t>TC_AGCY_DTL_027, TC_AGCY_DTL_028, TC_AGCY_DTL_029, TC_AGCY_DTL_030, TC_AGCY_DTL_031</t>
        </is>
      </c>
    </row>
    <row r="9">
      <c r="A9" s="104" t="inlineStr">
        <is>
          <t>AF-08 (Warning khi hủy đại lý còn referral active)</t>
        </is>
      </c>
      <c r="B9" s="104" t="inlineStr">
        <is>
          <t>Agency Detail 5 Tabs</t>
        </is>
      </c>
      <c r="C9" s="104" t="inlineStr">
        <is>
          <t>TC_AGCY_DTL_007, TC_AGCY_DTL_008</t>
        </is>
      </c>
    </row>
    <row r="10">
      <c r="A10" s="104" t="inlineStr">
        <is>
          <t>AF-09 (Đổi Plan không hồi tố)</t>
        </is>
      </c>
      <c r="B10" s="104" t="inlineStr">
        <is>
          <t>Agency Detail 5 Tabs</t>
        </is>
      </c>
      <c r="C10" s="104" t="inlineStr">
        <is>
          <t>TC_AGCY_DTL_014</t>
        </is>
      </c>
    </row>
    <row r="11">
      <c r="A11" s="104" t="inlineStr">
        <is>
          <t>AF-10 (Lock Plan sau kỳ thanh toán đầu)</t>
        </is>
      </c>
      <c r="B11" s="104" t="inlineStr">
        <is>
          <t>Agency Detail 5 Tabs</t>
        </is>
      </c>
      <c r="C11" s="104" t="inlineStr">
        <is>
          <t>TC_AGCY_DTL_012, TC_AGCY_DTL_013</t>
        </is>
      </c>
    </row>
    <row r="12">
      <c r="A12" s="104" t="inlineStr">
        <is>
          <t>AC-03</t>
        </is>
      </c>
      <c r="B12" s="104" t="inlineStr">
        <is>
          <t>Referral Management</t>
        </is>
      </c>
      <c r="C12" s="104" t="inlineStr">
        <is>
          <t>TC_AGCY_REF_001, TC_AGCY_REF_002, TC_AGCY_REF_003, TC_AGCY_REF_004, TC_AGCY_REF_019</t>
        </is>
      </c>
    </row>
    <row r="13">
      <c r="A13" s="104" t="inlineStr">
        <is>
          <t>AC-04</t>
        </is>
      </c>
      <c r="B13" s="104" t="inlineStr">
        <is>
          <t>Referral Management</t>
        </is>
      </c>
      <c r="C13" s="104" t="inlineStr">
        <is>
          <t>TC_AGCY_REF_005, TC_AGCY_REF_006, TC_AGCY_REF_007, TC_AGCY_REF_008, TC_AGCY_REF_009, TC_AGCY_REF_010, TC_AGCY_REF_011, TC_AGCY_REF_012, TC_AGCY_REF_013, TC_AGCY_REF_014, TC_AGCY_REF_015, TC_AGCY_REF_016, TC_AGCY_REF_017, TC_AGCY_REF_018, TC_AGCY_REF_020</t>
        </is>
      </c>
    </row>
    <row r="14">
      <c r="A14" s="104" t="inlineStr">
        <is>
          <t>AF-03</t>
        </is>
      </c>
      <c r="B14" s="104" t="inlineStr">
        <is>
          <t>Referral Management</t>
        </is>
      </c>
      <c r="C14" s="104" t="inlineStr">
        <is>
          <t>TC_AGCY_REF_015, TC_AGCY_REF_016</t>
        </is>
      </c>
    </row>
    <row r="15">
      <c r="A15" s="104" t="inlineStr">
        <is>
          <t>AC-05</t>
        </is>
      </c>
      <c r="B15" s="104" t="inlineStr">
        <is>
          <t>Sales &amp; Fee Payment</t>
        </is>
      </c>
      <c r="C15" s="104" t="inlineStr">
        <is>
          <t>TC_AGCY_FEE_001, TC_AGCY_FEE_002, TC_AGCY_FEE_003, TC_AGCY_FEE_004, TC_AGCY_FEE_005</t>
        </is>
      </c>
    </row>
    <row r="16">
      <c r="A16" s="104" t="inlineStr">
        <is>
          <t>AC-06</t>
        </is>
      </c>
      <c r="B16" s="104" t="inlineStr">
        <is>
          <t>Sales &amp; Fee Payment</t>
        </is>
      </c>
      <c r="C16" s="104" t="inlineStr">
        <is>
          <t>TC_AGCY_FEE_006, TC_AGCY_FEE_007, TC_AGCY_FEE_008, TC_AGCY_FEE_009, TC_AGCY_FEE_010, TC_AGCY_FEE_011</t>
        </is>
      </c>
    </row>
    <row r="17">
      <c r="A17" s="104" t="inlineStr">
        <is>
          <t>AC-07</t>
        </is>
      </c>
      <c r="B17" s="104" t="inlineStr">
        <is>
          <t>Sales &amp; Fee Payment</t>
        </is>
      </c>
      <c r="C17" s="104" t="inlineStr">
        <is>
          <t>TC_AGCY_FEE_012, TC_AGCY_FEE_013, TC_AGCY_FEE_014, TC_AGCY_FEE_015, TC_AGCY_FEE_016, TC_AGCY_FEE_017, TC_AGCY_FEE_018, TC_AGCY_FEE_019, TC_AGCY_FEE_020, TC_AGCY_FEE_021, TC_AGCY_FEE_031</t>
        </is>
      </c>
    </row>
    <row r="18">
      <c r="A18" s="104" t="inlineStr">
        <is>
          <t>AC-08</t>
        </is>
      </c>
      <c r="B18" s="104" t="inlineStr">
        <is>
          <t>Sales &amp; Fee Payment</t>
        </is>
      </c>
      <c r="C18" s="104" t="inlineStr">
        <is>
          <t>TC_AGCY_FEE_026, TC_AGCY_FEE_027, TC_AGCY_FEE_028, TC_AGCY_FEE_029, TC_AGCY_FEE_030</t>
        </is>
      </c>
    </row>
    <row r="19">
      <c r="A19" s="104" t="inlineStr">
        <is>
          <t>AC-09</t>
        </is>
      </c>
      <c r="B19" s="104" t="inlineStr">
        <is>
          <t>Sales &amp; Fee Payment</t>
        </is>
      </c>
      <c r="C19" s="104" t="inlineStr">
        <is>
          <t>TC_AGCY_FEE_022, TC_AGCY_FEE_023, TC_AGCY_FEE_024, TC_AGCY_FEE_025</t>
        </is>
      </c>
    </row>
    <row r="20">
      <c r="A20" s="104" t="inlineStr">
        <is>
          <t>AC-11 (tổng pháp nhân giới thiệu thành công)</t>
        </is>
      </c>
      <c r="B20" s="104" t="inlineStr">
        <is>
          <t>Referral Dashboard</t>
        </is>
      </c>
      <c r="C20" s="104" t="inlineStr">
        <is>
          <t>TC_AGCY_DASH_002, TC_AGCY_DASH_013</t>
        </is>
      </c>
    </row>
    <row r="21">
      <c r="A21" s="104" t="inlineStr">
        <is>
          <t>AC-11 (tổng doanh thu từ kênh giới thiệu)</t>
        </is>
      </c>
      <c r="B21" s="104" t="inlineStr">
        <is>
          <t>Referral Dashboard</t>
        </is>
      </c>
      <c r="C21" s="104" t="inlineStr">
        <is>
          <t>TC_AGCY_DASH_003, TC_AGCY_DASH_014</t>
        </is>
      </c>
    </row>
    <row r="22">
      <c r="A22" s="104" t="inlineStr">
        <is>
          <t>AC-11 (biểu đồ xu hướng theo tháng/quý)</t>
        </is>
      </c>
      <c r="B22" s="104" t="inlineStr">
        <is>
          <t>Referral Dashboard</t>
        </is>
      </c>
      <c r="C22" s="104" t="inlineStr">
        <is>
          <t>TC_AGCY_DASH_004, TC_AGCY_DASH_011</t>
        </is>
      </c>
    </row>
    <row r="23">
      <c r="A23" s="104" t="inlineStr">
        <is>
          <t>AC-11 (bộ lọc kỳ thời gian hoạt động đúng)</t>
        </is>
      </c>
      <c r="B23" s="104" t="inlineStr">
        <is>
          <t>Referral Dashboard</t>
        </is>
      </c>
      <c r="C23" s="104" t="inlineStr">
        <is>
          <t>TC_AGCY_DASH_005, TC_AGCY_DASH_006, TC_AGCY_DASH_009</t>
        </is>
      </c>
    </row>
    <row r="24">
      <c r="A24" s="104" t="inlineStr">
        <is>
          <t>AC-11 (bộ lọc theo đại lý hoạt động đúng)</t>
        </is>
      </c>
      <c r="B24" s="104" t="inlineStr">
        <is>
          <t>Referral Dashboard</t>
        </is>
      </c>
      <c r="C24" s="104" t="inlineStr">
        <is>
          <t>TC_AGCY_DASH_007, TC_AGCY_DASH_008, TC_AGCY_DASH_017</t>
        </is>
      </c>
    </row>
    <row r="25">
      <c r="A25" s="104" t="inlineStr">
        <is>
          <t>AC-11 (kết hợp filter)</t>
        </is>
      </c>
      <c r="B25" s="104" t="inlineStr">
        <is>
          <t>Referral Dashboard</t>
        </is>
      </c>
      <c r="C25" s="104" t="inlineStr">
        <is>
          <t>TC_AGCY_DASH_008, TC_AGCY_DASH_012</t>
        </is>
      </c>
    </row>
    <row r="26">
      <c r="A26" s="104" t="inlineStr">
        <is>
          <t>AC-11 (UI tổng thể)</t>
        </is>
      </c>
      <c r="B26" s="104" t="inlineStr">
        <is>
          <t>Referral Dashboard</t>
        </is>
      </c>
      <c r="C26" s="104" t="inlineStr">
        <is>
          <t>TC_AGCY_DASH_001</t>
        </is>
      </c>
    </row>
    <row r="27">
      <c r="A27" s="104" t="inlineStr">
        <is>
          <t>AF-06 (empty state khi không có dữ liệu)</t>
        </is>
      </c>
      <c r="B27" s="104" t="inlineStr">
        <is>
          <t>Referral Dashboard</t>
        </is>
      </c>
      <c r="C27" s="104" t="inlineStr">
        <is>
          <t>TC_AGCY_DASH_010, TC_AGCY_DASH_012</t>
        </is>
      </c>
    </row>
    <row r="28">
      <c r="A28" s="104" t="inlineStr">
        <is>
          <t>Permission / Security</t>
        </is>
      </c>
      <c r="B28" s="104" t="inlineStr">
        <is>
          <t>Referral Dashboard</t>
        </is>
      </c>
      <c r="C28" s="104" t="inlineStr">
        <is>
          <t>TC_AGCY_DASH_015, TC_AGCY_DASH_016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4"/>
  <sheetViews>
    <sheetView showGridLines="1" workbookViewId="0">
      <pane ySplit="3" topLeftCell="A4" activePane="bottomLeft" state="frozen"/>
      <selection pane="bottomLeft" activeCell="A1" sqref="A1"/>
    </sheetView>
  </sheetViews>
  <sheetFormatPr baseColWidth="8" defaultRowHeight="15"/>
  <cols>
    <col width="55" customWidth="1" style="93" min="1" max="1"/>
    <col width="28.6" customWidth="1" style="93" min="2" max="2"/>
    <col width="10" customWidth="1" style="93" min="3" max="3"/>
    <col width="55" customWidth="1" style="93" min="4" max="4"/>
    <col width="55" customWidth="1" style="93" min="5" max="5"/>
    <col width="55" customWidth="1" style="93" min="6" max="6"/>
  </cols>
  <sheetData>
    <row r="1">
      <c r="A1" s="102" t="inlineStr">
        <is>
          <t>Điểm SPEC còn TODO hoặc mơ hồ — cần BA/PM confirm trước khi QC thực thi.</t>
        </is>
      </c>
    </row>
    <row r="2"/>
    <row r="3" ht="24" customHeight="1" s="93">
      <c r="A3" s="103" t="inlineStr">
        <is>
          <t>#</t>
        </is>
      </c>
      <c r="B3" s="103" t="inlineStr">
        <is>
          <t>Module</t>
        </is>
      </c>
      <c r="C3" s="103" t="inlineStr">
        <is>
          <t>Ref gốc</t>
        </is>
      </c>
      <c r="D3" s="103" t="inlineStr">
        <is>
          <t>Câu hỏi cần confirm</t>
        </is>
      </c>
      <c r="E3" s="103" t="inlineStr">
        <is>
          <t>Ảnh hưởng TC</t>
        </is>
      </c>
      <c r="F3" s="103" t="inlineStr">
        <is>
          <t>Nguồn / Ưu tiên</t>
        </is>
      </c>
    </row>
    <row r="4">
      <c r="A4" s="104" t="inlineStr">
        <is>
          <t>OQ-01</t>
        </is>
      </c>
      <c r="B4" s="104" t="inlineStr">
        <is>
          <t>Agency List &amp; Registration</t>
        </is>
      </c>
      <c r="C4" s="104" t="inlineStr">
        <is>
          <t>Q-01</t>
        </is>
      </c>
      <c r="D4" s="104" t="inlineStr">
        <is>
          <t>Page size (N) của phân trang là bao nhiêu? Kiểu phân trang: pagination control (số trang) hay infinite scroll hay lazy load?</t>
        </is>
      </c>
      <c r="E4" s="104" t="inlineStr">
        <is>
          <t>TC_AGCY_LIST_008</t>
        </is>
      </c>
      <c r="F4" s="104" t="inlineStr">
        <is>
          <t>AC-01 TODO (BA)</t>
        </is>
      </c>
    </row>
    <row r="5">
      <c r="A5" s="104" t="inlineStr">
        <is>
          <t>OQ-02</t>
        </is>
      </c>
      <c r="B5" s="104" t="inlineStr">
        <is>
          <t>Agency List &amp; Registration</t>
        </is>
      </c>
      <c r="C5" s="104" t="inlineStr">
        <is>
          <t>Q-02</t>
        </is>
      </c>
      <c r="D5" s="104" t="inlineStr">
        <is>
          <t>Ngoài tên đại lý, còn cột filter hoặc sort nào khác không (VD sort theo tỷ lệ hoa hồng, filter theo trạng thái)?</t>
        </is>
      </c>
      <c r="E5" s="104" t="inlineStr">
        <is>
          <t>Có thể cần thêm TC mới</t>
        </is>
      </c>
      <c r="F5" s="104" t="inlineStr">
        <is>
          <t>AC-01 TODO (BA)</t>
        </is>
      </c>
    </row>
    <row r="6">
      <c r="A6" s="104" t="inlineStr">
        <is>
          <t>OQ-03</t>
        </is>
      </c>
      <c r="B6" s="104" t="inlineStr">
        <is>
          <t>Agency List &amp; Registration</t>
        </is>
      </c>
      <c r="C6" s="104" t="inlineStr">
        <is>
          <t>Q-03</t>
        </is>
      </c>
      <c r="D6" s="104" t="inlineStr">
        <is>
          <t>Danh sách đầy đủ các trường bắt buộc khi đăng ký đại lý mới (ví dụ: tên, email liên hệ, số điện thoại, tỷ lệ hoa hồng, điều kiện hợp đồng…)?</t>
        </is>
      </c>
      <c r="E6" s="104" t="inlineStr">
        <is>
          <t>TC_AGCY_LIST_016 + cần sinh thêm TC validation per field khi có danh sách</t>
        </is>
      </c>
      <c r="F6" s="104" t="inlineStr">
        <is>
          <t>AF-02 TODO (BA)</t>
        </is>
      </c>
    </row>
    <row r="7">
      <c r="A7" s="104" t="inlineStr">
        <is>
          <t>OQ-04</t>
        </is>
      </c>
      <c r="B7" s="104" t="inlineStr">
        <is>
          <t>Agency List &amp; Registration</t>
        </is>
      </c>
      <c r="C7" s="104" t="inlineStr">
        <is>
          <t>Q-04</t>
        </is>
      </c>
      <c r="D7" s="104" t="inlineStr">
        <is>
          <t>Validation rules cụ thể cho từng trường "Thông tin liên hệ" (email format? số điện thoại Nhật? max length?) và "Điều kiện hợp đồng" (free text hay dropdown có option cố định?)?</t>
        </is>
      </c>
      <c r="E7" s="104" t="inlineStr">
        <is>
          <t>Cần sinh TC validation per field sau khi có câu trả lời</t>
        </is>
      </c>
      <c r="F7" s="104" t="inlineStr">
        <is>
          <t>AF-02 TODO (BA)</t>
        </is>
      </c>
    </row>
    <row r="8">
      <c r="A8" s="104" t="inlineStr">
        <is>
          <t>OQ-05</t>
        </is>
      </c>
      <c r="B8" s="104" t="inlineStr">
        <is>
          <t>Agency List &amp; Registration</t>
        </is>
      </c>
      <c r="C8" s="104" t="inlineStr">
        <is>
          <t>Q-05</t>
        </is>
      </c>
      <c r="D8" s="104" t="inlineStr">
        <is>
          <t>Max length của trường Tên đại lý là bao nhiêu ký tự?</t>
        </is>
      </c>
      <c r="E8" s="104" t="inlineStr">
        <is>
          <t>TC_AGCY_LIST_018 (hiện dùng 255 làm giả định)</t>
        </is>
      </c>
      <c r="F8" s="104" t="inlineStr">
        <is>
          <t>AC-02</t>
        </is>
      </c>
    </row>
    <row r="9">
      <c r="A9" s="104" t="inlineStr">
        <is>
          <t>OQ-06</t>
        </is>
      </c>
      <c r="B9" s="104" t="inlineStr">
        <is>
          <t>Agency List &amp; Registration</t>
        </is>
      </c>
      <c r="C9" s="104" t="inlineStr">
        <is>
          <t>Q-06</t>
        </is>
      </c>
      <c r="D9" s="104" t="inlineStr">
        <is>
          <t>Giới hạn trên của Tỷ lệ hoa hồng (%) là 100% hay có giá trị khác?</t>
        </is>
      </c>
      <c r="E9" s="104" t="inlineStr">
        <is>
          <t>TC_AGCY_LIST_020, TC_AGCY_LIST_023</t>
        </is>
      </c>
      <c r="F9" s="104" t="inlineStr">
        <is>
          <t>AC-02</t>
        </is>
      </c>
    </row>
    <row r="10">
      <c r="A10" s="104" t="inlineStr">
        <is>
          <t>OQ-07</t>
        </is>
      </c>
      <c r="B10" s="104" t="inlineStr">
        <is>
          <t>Agency List &amp; Registration</t>
        </is>
      </c>
      <c r="C10" s="104" t="inlineStr">
        <is>
          <t>Q-07</t>
        </is>
      </c>
      <c r="D10" s="104" t="inlineStr">
        <is>
          <t>Nhãn trạng thái hiển thị trên UI là tiếng Việt ("Đang chạy", "Đã hủy") hay tiếng Nhật?</t>
        </is>
      </c>
      <c r="E10" s="104" t="inlineStr">
        <is>
          <t>TC_AGCY_LIST_003, TC_AGCY_LIST_004</t>
        </is>
      </c>
      <c r="F10" s="104" t="inlineStr">
        <is>
          <t>AC-01</t>
        </is>
      </c>
    </row>
    <row r="11">
      <c r="A11" s="104" t="inlineStr">
        <is>
          <t>OQ-08</t>
        </is>
      </c>
      <c r="B11" s="104" t="inlineStr">
        <is>
          <t>Agency List &amp; Registration</t>
        </is>
      </c>
      <c r="C11" s="104" t="inlineStr">
        <is>
          <t>Q-08</t>
        </is>
      </c>
      <c r="D11" s="104" t="inlineStr">
        <is>
          <t>Thông báo lỗi khi tên trùng lặp có hiển thị inline dưới trường hay dạng toast?</t>
        </is>
      </c>
      <c r="E11" s="104" t="inlineStr">
        <is>
          <t>TC_AGCY_LIST_015</t>
        </is>
      </c>
      <c r="F11" s="104" t="inlineStr">
        <is>
          <t>AF-01</t>
        </is>
      </c>
    </row>
    <row r="12">
      <c r="A12" s="104" t="inlineStr">
        <is>
          <t>OQ-09</t>
        </is>
      </c>
      <c r="B12" s="104" t="inlineStr">
        <is>
          <t>Agency List &amp; Registration</t>
        </is>
      </c>
      <c r="C12" s="104" t="inlineStr">
        <is>
          <t>Q-09</t>
        </is>
      </c>
      <c r="D12" s="104" t="inlineStr">
        <is>
          <t>Khi nhấn Hủy trong form đang có dữ liệu: có confirmation dialog trước khi rời trang không?</t>
        </is>
      </c>
      <c r="E12" s="104" t="inlineStr">
        <is>
          <t>TC_AGCY_LIST_025</t>
        </is>
      </c>
      <c r="F12" s="104" t="inlineStr">
        <is>
          <t>Story 2</t>
        </is>
      </c>
    </row>
    <row r="13">
      <c r="A13" s="104" t="inlineStr">
        <is>
          <t>OQ-10</t>
        </is>
      </c>
      <c r="B13" s="104" t="inlineStr">
        <is>
          <t>Agency List &amp; Registration</t>
        </is>
      </c>
      <c r="C13" s="104" t="inlineStr">
        <is>
          <t>Q-10</t>
        </is>
      </c>
      <c r="D13" s="104" t="inlineStr">
        <is>
          <t>Tìm kiếm theo tên có phân biệt hoa thường (case-sensitive) không?</t>
        </is>
      </c>
      <c r="E13" s="104" t="inlineStr">
        <is>
          <t>TC_AGCY_LIST_005</t>
        </is>
      </c>
      <c r="F13" s="104" t="inlineStr">
        <is>
          <t>AC-01</t>
        </is>
      </c>
    </row>
    <row r="14">
      <c r="A14" s="104" t="inlineStr">
        <is>
          <t>OQ-11</t>
        </is>
      </c>
      <c r="B14" s="104" t="inlineStr">
        <is>
          <t>Agency Detail 5 Tabs</t>
        </is>
      </c>
      <c r="C14" s="104" t="inlineStr">
        <is>
          <t>OQ-01</t>
        </is>
      </c>
      <c r="D14" s="104" t="inlineStr">
        <is>
          <t>Tên tab hiển thị tiếng Anh hay tiếng Nhật? URL có kèm tab param (VD ?tab=basic) không?</t>
        </is>
      </c>
      <c r="E14" s="104" t="inlineStr">
        <is>
          <t>TC_AGCY_DTL_001, TC_AGCY_DTL_002</t>
        </is>
      </c>
      <c r="F14" s="104" t="inlineStr">
        <is>
          <t>AW_AGCY_003 (Tab navigation)</t>
        </is>
      </c>
    </row>
    <row r="15">
      <c r="A15" s="104" t="inlineStr">
        <is>
          <t>OQ-12</t>
        </is>
      </c>
      <c r="B15" s="104" t="inlineStr">
        <is>
          <t>Agency Detail 5 Tabs</t>
        </is>
      </c>
      <c r="C15" s="104" t="inlineStr">
        <is>
          <t>OQ-02</t>
        </is>
      </c>
      <c r="D15" s="104" t="inlineStr">
        <is>
          <t>Khi rời tab có dữ liệu chưa lưu, có dialog cảnh báo "unsaved changes" không?</t>
        </is>
      </c>
      <c r="E15" s="104" t="inlineStr">
        <is>
          <t>TC_AGCY_DTL_003</t>
        </is>
      </c>
      <c r="F15" s="104" t="inlineStr">
        <is>
          <t>AW_AGCY_003 (Tab navigation)</t>
        </is>
      </c>
    </row>
    <row r="16">
      <c r="A16" s="104" t="inlineStr">
        <is>
          <t>OQ-13</t>
        </is>
      </c>
      <c r="B16" s="104" t="inlineStr">
        <is>
          <t>Agency Detail 5 Tabs</t>
        </is>
      </c>
      <c r="C16" s="104" t="inlineStr">
        <is>
          <t>OQ-03</t>
        </is>
      </c>
      <c r="D16" s="104" t="inlineStr">
        <is>
          <t>Danh sách đầy đủ các trường thông tin người liên hệ (ngoài tên, email, SĐT còn chức vụ hay trường nào khác?)</t>
        </is>
      </c>
      <c r="E16" s="104" t="inlineStr">
        <is>
          <t>TC_AGCY_DTL_004</t>
        </is>
      </c>
      <c r="F16" s="104" t="inlineStr">
        <is>
          <t>AW_AGCY_003 (Basic Info)</t>
        </is>
      </c>
    </row>
    <row r="17">
      <c r="A17" s="104" t="inlineStr">
        <is>
          <t>OQ-14</t>
        </is>
      </c>
      <c r="B17" s="104" t="inlineStr">
        <is>
          <t>Agency Detail 5 Tabs</t>
        </is>
      </c>
      <c r="C17" s="104" t="inlineStr">
        <is>
          <t>OQ-04</t>
        </is>
      </c>
      <c r="D17" s="104" t="inlineStr">
        <is>
          <t>Màu sắc badge "Đang chạy" và "Đã hủy" (cần Designer xác nhận khi Figma sẵn sàng)</t>
        </is>
      </c>
      <c r="E17" s="104" t="inlineStr">
        <is>
          <t>TC_AGCY_DTL_005, TC_AGCY_DTL_006</t>
        </is>
      </c>
      <c r="F17" s="104" t="inlineStr">
        <is>
          <t>AW_AGCY_003 (Trạng thái)</t>
        </is>
      </c>
    </row>
    <row r="18">
      <c r="A18" s="104" t="inlineStr">
        <is>
          <t>OQ-15</t>
        </is>
      </c>
      <c r="B18" s="104" t="inlineStr">
        <is>
          <t>Agency Detail 5 Tabs</t>
        </is>
      </c>
      <c r="C18" s="104" t="inlineStr">
        <is>
          <t>OQ-05</t>
        </is>
      </c>
      <c r="D18" s="104" t="inlineStr">
        <is>
          <t>Action thay đổi trạng thái là dropdown inline trên Basic Info hay nút riêng? Nội dung chính xác của warning message khi còn referral active?</t>
        </is>
      </c>
      <c r="E18" s="104" t="inlineStr">
        <is>
          <t>TC_AGCY_DTL_007, TC_AGCY_DTL_008</t>
        </is>
      </c>
      <c r="F18" s="104" t="inlineStr">
        <is>
          <t>AW_AGCY_003 (AF-08)</t>
        </is>
      </c>
    </row>
    <row r="19">
      <c r="A19" s="104" t="inlineStr">
        <is>
          <t>OQ-16</t>
        </is>
      </c>
      <c r="B19" s="104" t="inlineStr">
        <is>
          <t>Agency Detail 5 Tabs</t>
        </is>
      </c>
      <c r="C19" s="104" t="inlineStr">
        <is>
          <t>OQ-06</t>
        </is>
      </c>
      <c r="D19" s="104" t="inlineStr">
        <is>
          <t>Tên và số lượng trường tài khoản ngân hàng (tên ngân hàng, số TK, tên chủ TK, mã chi nhánh?); trường khai báo thuế gồm những gì?</t>
        </is>
      </c>
      <c r="E19" s="104" t="inlineStr">
        <is>
          <t>TC_AGCY_DTL_009, TC_AGCY_DTL_010, TC_AGCY_DTL_013</t>
        </is>
      </c>
      <c r="F19" s="104" t="inlineStr">
        <is>
          <t>AW_AGCY_004 (Contract)</t>
        </is>
      </c>
    </row>
    <row r="20">
      <c r="A20" s="104" t="inlineStr">
        <is>
          <t>OQ-17</t>
        </is>
      </c>
      <c r="B20" s="104" t="inlineStr">
        <is>
          <t>Agency Detail 5 Tabs</t>
        </is>
      </c>
      <c r="C20" s="104" t="inlineStr">
        <is>
          <t>OQ-07</t>
        </is>
      </c>
      <c r="D20" s="104" t="inlineStr">
        <is>
          <t>Nội dung chi tiết từng Plan A/B/C/D (tỷ lệ phần trăm, điều kiện). Control chọn Plan là radio hay dropdown?</t>
        </is>
      </c>
      <c r="E20" s="104" t="inlineStr">
        <is>
          <t>TC_AGCY_DTL_010, TC_AGCY_DTL_011</t>
        </is>
      </c>
      <c r="F20" s="104" t="inlineStr">
        <is>
          <t>AW_AGCY_004 (Plan)</t>
        </is>
      </c>
    </row>
    <row r="21">
      <c r="A21" s="104" t="inlineStr">
        <is>
          <t>OQ-18</t>
        </is>
      </c>
      <c r="B21" s="104" t="inlineStr">
        <is>
          <t>Agency Detail 5 Tabs</t>
        </is>
      </c>
      <c r="C21" s="104" t="inlineStr">
        <is>
          <t>OQ-08</t>
        </is>
      </c>
      <c r="D21" s="104" t="inlineStr">
        <is>
          <t>Khi Plan bị lock, có tooltip/text giải thích lý do khóa không? Các trường ghi chú nội bộ và khai báo thuế có vẫn editable sau kỳ đầu?</t>
        </is>
      </c>
      <c r="E21" s="104" t="inlineStr">
        <is>
          <t>TC_AGCY_DTL_012, TC_AGCY_DTL_013</t>
        </is>
      </c>
      <c r="F21" s="104" t="inlineStr">
        <is>
          <t>AW_AGCY_004 (AF-10)</t>
        </is>
      </c>
    </row>
    <row r="22">
      <c r="A22" s="104" t="inlineStr">
        <is>
          <t>OQ-19</t>
        </is>
      </c>
      <c r="B22" s="104" t="inlineStr">
        <is>
          <t>Agency Detail 5 Tabs</t>
        </is>
      </c>
      <c r="C22" s="104" t="inlineStr">
        <is>
          <t>OQ-09</t>
        </is>
      </c>
      <c r="D22" s="104" t="inlineStr">
        <is>
          <t>Hệ thống có lưu lịch sử đổi Plan (audit log) không?</t>
        </is>
      </c>
      <c r="E22" s="104" t="inlineStr">
        <is>
          <t>TC_AGCY_DTL_014</t>
        </is>
      </c>
      <c r="F22" s="104" t="inlineStr">
        <is>
          <t>AW_AGCY_004 (AF-09)</t>
        </is>
      </c>
    </row>
    <row r="23">
      <c r="A23" s="104" t="inlineStr">
        <is>
          <t>OQ-20</t>
        </is>
      </c>
      <c r="B23" s="104" t="inlineStr">
        <is>
          <t>Agency Detail 5 Tabs</t>
        </is>
      </c>
      <c r="C23" s="104" t="inlineStr">
        <is>
          <t>OQ-10</t>
        </is>
      </c>
      <c r="D23" s="104" t="inlineStr">
        <is>
          <t>Trường Ghi chú nội bộ là optional hay required?</t>
        </is>
      </c>
      <c r="E23" s="104" t="inlineStr">
        <is>
          <t>TC_AGCY_DTL_016</t>
        </is>
      </c>
      <c r="F23" s="104" t="inlineStr">
        <is>
          <t>AW_AGCY_004 (Ghi chú)</t>
        </is>
      </c>
    </row>
    <row r="24">
      <c r="A24" s="104" t="inlineStr">
        <is>
          <t>OQ-21</t>
        </is>
      </c>
      <c r="B24" s="104" t="inlineStr">
        <is>
          <t>Agency Detail 5 Tabs</t>
        </is>
      </c>
      <c r="C24" s="104" t="inlineStr">
        <is>
          <t>OQ-11</t>
        </is>
      </c>
      <c r="D24" s="104" t="inlineStr">
        <is>
          <t>Đơn vị tiền tệ (VND hay JPY?); format hiển thị số tiền (dấu phân cách nghìn, ký hiệu tiền tệ đứng trước hay sau?)</t>
        </is>
      </c>
      <c r="E24" s="104" t="inlineStr">
        <is>
          <t>TC_AGCY_DTL_017</t>
        </is>
      </c>
      <c r="F24" s="104" t="inlineStr">
        <is>
          <t>AW_AGCY_005 (Performance)</t>
        </is>
      </c>
    </row>
    <row r="25">
      <c r="A25" s="104" t="inlineStr">
        <is>
          <t>OQ-22</t>
        </is>
      </c>
      <c r="B25" s="104" t="inlineStr">
        <is>
          <t>Agency Detail 5 Tabs</t>
        </is>
      </c>
      <c r="C25" s="104" t="inlineStr">
        <is>
          <t>OQ-12</t>
        </is>
      </c>
      <c r="D25" s="104" t="inlineStr">
        <is>
          <t>"KH đang active" = chỉ referral trạng thái "Ký", hay bao gồm cả "Đang đàm phán"?</t>
        </is>
      </c>
      <c r="E25" s="104" t="inlineStr">
        <is>
          <t>TC_AGCY_DTL_019</t>
        </is>
      </c>
      <c r="F25" s="104" t="inlineStr">
        <is>
          <t>AW_AGCY_005 (Performance)</t>
        </is>
      </c>
    </row>
    <row r="26">
      <c r="A26" s="104" t="inlineStr">
        <is>
          <t>OQ-23</t>
        </is>
      </c>
      <c r="B26" s="104" t="inlineStr">
        <is>
          <t>Agency Detail 5 Tabs</t>
        </is>
      </c>
      <c r="C26" s="104" t="inlineStr">
        <is>
          <t>OQ-13</t>
        </is>
      </c>
      <c r="D26" s="104" t="inlineStr">
        <is>
          <t>Tên cột tiêu đề bảng (tiếng Nhật hay Việt?); có phân trang không và page size bao nhiêu?</t>
        </is>
      </c>
      <c r="E26" s="104" t="inlineStr">
        <is>
          <t>TC_AGCY_DTL_022</t>
        </is>
      </c>
      <c r="F26" s="104" t="inlineStr">
        <is>
          <t>AW_AGCY_006 (Referral History)</t>
        </is>
      </c>
    </row>
    <row r="27">
      <c r="A27" s="104" t="inlineStr">
        <is>
          <t>OQ-24</t>
        </is>
      </c>
      <c r="B27" s="104" t="inlineStr">
        <is>
          <t>Agency Detail 5 Tabs</t>
        </is>
      </c>
      <c r="C27" s="104" t="inlineStr">
        <is>
          <t>OQ-14</t>
        </is>
      </c>
      <c r="D27" s="104" t="inlineStr">
        <is>
          <t>Hoa hồng tháng = 0 khi KH chưa ở trạng thái "Ký"? Công thức tính "Hoa hồng tháng này" cho 1 referral?</t>
        </is>
      </c>
      <c r="E27" s="104" t="inlineStr">
        <is>
          <t>TC_AGCY_DTL_023, TC_AGCY_DTL_024</t>
        </is>
      </c>
      <c r="F27" s="104" t="inlineStr">
        <is>
          <t>AW_AGCY_006 (Referral History)</t>
        </is>
      </c>
    </row>
    <row r="28">
      <c r="A28" s="104" t="inlineStr">
        <is>
          <t>OQ-25</t>
        </is>
      </c>
      <c r="B28" s="104" t="inlineStr">
        <is>
          <t>Agency Detail 5 Tabs</t>
        </is>
      </c>
      <c r="C28" s="104" t="inlineStr">
        <is>
          <t>OQ-15</t>
        </is>
      </c>
      <c r="D28" s="104" t="inlineStr">
        <is>
          <t>Thứ tự sort mặc định của danh sách (mới nhất lên trên?); format hiển thị cột Tháng thanh toán (7/2026 hay 2026-07?)</t>
        </is>
      </c>
      <c r="E28" s="104" t="inlineStr">
        <is>
          <t>TC_AGCY_DTL_027</t>
        </is>
      </c>
      <c r="F28" s="104" t="inlineStr">
        <is>
          <t>AW_AGCY_007 (Payment History)</t>
        </is>
      </c>
    </row>
    <row r="29">
      <c r="A29" s="104" t="inlineStr">
        <is>
          <t>OQ-26</t>
        </is>
      </c>
      <c r="B29" s="104" t="inlineStr">
        <is>
          <t>Referral Management</t>
        </is>
      </c>
      <c r="C29" s="104" t="inlineStr">
        <is>
          <t>OQ-01</t>
        </is>
      </c>
      <c r="D29" s="104" t="inlineStr">
        <is>
          <t>Các transition hợp lệ giữa các trạng thái tiến độ: SPEC chỉ nêu 3 trạng thái (Đang đàm phán / Ký / Hủy) nhưng không liệt kê rõ từng transition nào được phép. Cụ thể: "Ký → Hủy" có hợp lệ không? "Hủy" có phải terminal state không?</t>
        </is>
      </c>
      <c r="E29" s="104" t="inlineStr">
        <is>
          <t>TC_AGCY_REF_008, TC_AGCY_REF_009</t>
        </is>
      </c>
      <c r="F29" s="104" t="inlineStr">
        <is>
          <t>Story 3, Story 4 — không có State Transition Diagram</t>
        </is>
      </c>
    </row>
    <row r="30">
      <c r="A30" s="104" t="inlineStr">
        <is>
          <t>OQ-27</t>
        </is>
      </c>
      <c r="B30" s="104" t="inlineStr">
        <is>
          <t>Referral Management</t>
        </is>
      </c>
      <c r="C30" s="104" t="inlineStr">
        <is>
          <t>OQ-02</t>
        </is>
      </c>
      <c r="D30" s="104" t="inlineStr">
        <is>
          <t>Thứ tự xử lý xóa khi có hợp đồng active (AF-03): hệ thống ngăn ngay tại bước nhấn [Xóa] hay vẫn hiện confirm dialog trước rồi mới ngăn?</t>
        </is>
      </c>
      <c r="E30" s="104" t="inlineStr">
        <is>
          <t>TC_AGCY_REF_015</t>
        </is>
      </c>
      <c r="F30" s="104" t="inlineStr">
        <is>
          <t>AF-03 ghi "ngăn xóa và hiển thị thông báo cảnh báo" nhưng không nêu thứ tự với confirm dialog</t>
        </is>
      </c>
    </row>
    <row r="31">
      <c r="A31" s="104" t="inlineStr">
        <is>
          <t>OQ-28</t>
        </is>
      </c>
      <c r="B31" s="104" t="inlineStr">
        <is>
          <t>Referral Management</t>
        </is>
      </c>
      <c r="C31" s="104" t="inlineStr">
        <is>
          <t>OQ-03</t>
        </is>
      </c>
      <c r="D31" s="104" t="inlineStr">
        <is>
          <t>Business rule xóa referral — soft delete hay hard delete? SPEC AF-03 TODO ghi rõ chưa xác nhận.</t>
        </is>
      </c>
      <c r="E31" s="104" t="inlineStr">
        <is>
          <t>TC_AGCY_REF_014</t>
        </is>
      </c>
      <c r="F31" s="104" t="inlineStr">
        <is>
          <t>AF-03 TODO: "có cho phép xóa mềm (soft delete) không?"</t>
        </is>
      </c>
    </row>
    <row r="32">
      <c r="A32" s="104" t="inlineStr">
        <is>
          <t>OQ-29</t>
        </is>
      </c>
      <c r="B32" s="104" t="inlineStr">
        <is>
          <t>Referral Management</t>
        </is>
      </c>
      <c r="C32" s="104" t="inlineStr">
        <is>
          <t>OQ-04</t>
        </is>
      </c>
      <c r="D32" s="104" t="inlineStr">
        <is>
          <t>Các field cụ thể có thể edit trên màn hình AW_AGCY_009: SPEC Story 4 chỉ ghi "chỉnh sửa nội dung" không liệt kê field cụ thể.</t>
        </is>
      </c>
      <c r="E32" s="104" t="inlineStr">
        <is>
          <t>TC_AGCY_REF_011</t>
        </is>
      </c>
      <c r="F32" s="104" t="inlineStr">
        <is>
          <t>Story 4</t>
        </is>
      </c>
    </row>
    <row r="33">
      <c r="A33" s="104" t="inlineStr">
        <is>
          <t>OQ-30</t>
        </is>
      </c>
      <c r="B33" s="104" t="inlineStr">
        <is>
          <t>Referral Management</t>
        </is>
      </c>
      <c r="C33" s="104" t="inlineStr">
        <is>
          <t>OQ-05</t>
        </is>
      </c>
      <c r="D33" s="104" t="inlineStr">
        <is>
          <t>Các field chi tiết hiển thị trên AW_AGCY_009: SPEC Story 4 ghi "thông tin pháp nhân được giới thiệu" nhưng không liệt kê field cụ thể (tên công ty, mã pháp nhân, ngày giới thiệu…).</t>
        </is>
      </c>
      <c r="E33" s="104" t="inlineStr">
        <is>
          <t>TC_AGCY_REF_005</t>
        </is>
      </c>
      <c r="F33" s="104" t="inlineStr">
        <is>
          <t>Story 4</t>
        </is>
      </c>
    </row>
    <row r="34">
      <c r="A34" s="104" t="inlineStr">
        <is>
          <t>OQ-31</t>
        </is>
      </c>
      <c r="B34" s="104" t="inlineStr">
        <is>
          <t>Referral Management</t>
        </is>
      </c>
      <c r="C34" s="104" t="inlineStr">
        <is>
          <t>OQ-06</t>
        </is>
      </c>
      <c r="D34" s="104" t="inlineStr">
        <is>
          <t>Lịch sử cập nhật ghi nhận những gì: trạng thái cũ/mới, người thực hiện (System Admin nào), timestamp.</t>
        </is>
      </c>
      <c r="E34" s="104" t="inlineStr">
        <is>
          <t>TC_AGCY_REF_017</t>
        </is>
      </c>
      <c r="F34" s="104" t="inlineStr">
        <is>
          <t>Story 4 — "lịch sử cập nhật" nhưng không mô tả cấu trúc dữ liệu</t>
        </is>
      </c>
    </row>
    <row r="35">
      <c r="A35" s="104" t="inlineStr">
        <is>
          <t>OQ-32</t>
        </is>
      </c>
      <c r="B35" s="104" t="inlineStr">
        <is>
          <t>Referral Management</t>
        </is>
      </c>
      <c r="C35" s="104" t="inlineStr">
        <is>
          <t>OQ-07</t>
        </is>
      </c>
      <c r="D35" s="104" t="inlineStr">
        <is>
          <t>Cơ chế phân trang cho danh sách referral (AW_AGCY_008): AC-03 không đề cập.</t>
        </is>
      </c>
      <c r="E35" s="104" t="inlineStr">
        <is>
          <t>TC_AGCY_REF_019</t>
        </is>
      </c>
      <c r="F35" s="104" t="inlineStr">
        <is>
          <t>AC-03</t>
        </is>
      </c>
    </row>
    <row r="36">
      <c r="A36" s="104" t="inlineStr">
        <is>
          <t>OQ-33</t>
        </is>
      </c>
      <c r="B36" s="104" t="inlineStr">
        <is>
          <t>Referral Management</t>
        </is>
      </c>
      <c r="C36" s="104" t="inlineStr">
        <is>
          <t>OQ-08</t>
        </is>
      </c>
      <c r="D36" s="104" t="inlineStr">
        <is>
          <t>Nội dung text confirm dialog xóa và thông báo lỗi khi bị ngăn xóa.</t>
        </is>
      </c>
      <c r="E36" s="104" t="inlineStr">
        <is>
          <t>TC_AGCY_REF_012, TC_AGCY_REF_015, TC_AGCY_REF_016</t>
        </is>
      </c>
      <c r="F36" s="104" t="inlineStr">
        <is>
          <t>AC-04</t>
        </is>
      </c>
    </row>
    <row r="37">
      <c r="A37" s="104" t="inlineStr">
        <is>
          <t>OQ-34</t>
        </is>
      </c>
      <c r="B37" s="104" t="inlineStr">
        <is>
          <t>Sales &amp; Fee Payment</t>
        </is>
      </c>
      <c r="C37" s="104" t="inlineStr">
        <is>
          <t>OQ-01</t>
        </is>
      </c>
      <c r="D37" s="104" t="inlineStr">
        <is>
          <t>Trigger auto-generate dự toán hoa hồng là cron job tự động (đầu tháng) hay System Admin kích hoạt thủ công?</t>
        </is>
      </c>
      <c r="E37" s="104" t="inlineStr">
        <is>
          <t>TC_AGCY_FEE_012 đến TC_AGCY_FEE_021, TC_AGCY_FEE_031 (bước "Kích hoạt auto-generate" cần làm rõ cách thực hiện)</t>
        </is>
      </c>
      <c r="F37" s="104" t="inlineStr">
        <is>
          <t>Story 7 / AF-07 — TODO (BA)</t>
        </is>
      </c>
    </row>
    <row r="38">
      <c r="A38" s="104" t="inlineStr">
        <is>
          <t>OQ-35</t>
        </is>
      </c>
      <c r="B38" s="104" t="inlineStr">
        <is>
          <t>Sales &amp; Fee Payment</t>
        </is>
      </c>
      <c r="C38" s="104" t="inlineStr">
        <is>
          <t>OQ-02</t>
        </is>
      </c>
      <c r="D38" s="104" t="inlineStr">
        <is>
          <t>Tỷ lệ % cụ thể của Plan A, Plan B, Plan C, Plan D là bao nhiêu?</t>
        </is>
      </c>
      <c r="E38" s="104" t="inlineStr">
        <is>
          <t>TC_AGCY_FEE_012 đến TC_AGCY_FEE_015, TC_AGCY_FEE_021 (cần giá trị expected cụ thể)</t>
        </is>
      </c>
      <c r="F38" s="104" t="inlineStr">
        <is>
          <t>AC-07</t>
        </is>
      </c>
    </row>
    <row r="39">
      <c r="A39" s="104" t="inlineStr">
        <is>
          <t>OQ-36</t>
        </is>
      </c>
      <c r="B39" s="104" t="inlineStr">
        <is>
          <t>Sales &amp; Fee Payment</t>
        </is>
      </c>
      <c r="C39" s="104" t="inlineStr">
        <is>
          <t>OQ-03</t>
        </is>
      </c>
      <c r="D39" s="104" t="inlineStr">
        <is>
          <t>Quy tắc làm tròn số tiền hoa hồng thập phân: floor (xuống), round (gần nhất), hay ceiling (lên)? Đơn vị làm tròn là ¥ nguyên hay có thập phân?</t>
        </is>
      </c>
      <c r="E39" s="104" t="inlineStr">
        <is>
          <t>TC_AGCY_FEE_021</t>
        </is>
      </c>
      <c r="F39" s="104" t="inlineStr">
        <is>
          <t>AC-07 / TC_AGCY_FEE_021</t>
        </is>
      </c>
    </row>
    <row r="40">
      <c r="A40" s="104" t="inlineStr">
        <is>
          <t>OQ-37</t>
        </is>
      </c>
      <c r="B40" s="104" t="inlineStr">
        <is>
          <t>Sales &amp; Fee Payment</t>
        </is>
      </c>
      <c r="C40" s="104" t="inlineStr">
        <is>
          <t>OQ-04</t>
        </is>
      </c>
      <c r="D40" s="104" t="inlineStr">
        <is>
          <t>Đại lý tạo mới giữa tháng: doanh thu tháng đầu tính pro-rata (từ ngày tạo đến cuối tháng) hay tính toàn bộ tháng đó?</t>
        </is>
      </c>
      <c r="E40" s="104" t="inlineStr">
        <is>
          <t>TC_AGCY_FEE_020</t>
        </is>
      </c>
      <c r="F40" s="104" t="inlineStr">
        <is>
          <t>AC-07 / TC_AGCY_FEE_020</t>
        </is>
      </c>
    </row>
    <row r="41">
      <c r="A41" s="104" t="inlineStr">
        <is>
          <t>OQ-38</t>
        </is>
      </c>
      <c r="B41" s="104" t="inlineStr">
        <is>
          <t>Sales &amp; Fee Payment</t>
        </is>
      </c>
      <c r="C41" s="104" t="inlineStr">
        <is>
          <t>OQ-05</t>
        </is>
      </c>
      <c r="D41" s="104" t="inlineStr">
        <is>
          <t>Khi Tải CSV không có dữ liệu: xuất file CSV rỗng (chỉ header row) hay hiển thị thông báo "Không có dữ liệu để xuất"?</t>
        </is>
      </c>
      <c r="E41" s="104" t="inlineStr">
        <is>
          <t>TC_AGCY_FEE_023</t>
        </is>
      </c>
      <c r="F41" s="104" t="inlineStr">
        <is>
          <t>AF-05 — TODO (BA)</t>
        </is>
      </c>
    </row>
    <row r="42">
      <c r="A42" s="104" t="inlineStr">
        <is>
          <t>OQ-39</t>
        </is>
      </c>
      <c r="B42" s="104" t="inlineStr">
        <is>
          <t>Sales &amp; Fee Payment</t>
        </is>
      </c>
      <c r="C42" s="104" t="inlineStr">
        <is>
          <t>OQ-06</t>
        </is>
      </c>
      <c r="D42" s="104" t="inlineStr">
        <is>
          <t>CSV encoding: UTF-8 with BOM hay Shift-JIS? Tên cột header tiếng Nhật hay tiếng Anh? Danh sách cột đầy đủ là gì?</t>
        </is>
      </c>
      <c r="E42" s="104" t="inlineStr">
        <is>
          <t>TC_AGCY_FEE_024, TC_AGCY_FEE_025</t>
        </is>
      </c>
      <c r="F42" s="104" t="inlineStr">
        <is>
          <t>AC-09 — TODO (BA)</t>
        </is>
      </c>
    </row>
    <row r="43">
      <c r="A43" s="104" t="inlineStr">
        <is>
          <t>OQ-40</t>
        </is>
      </c>
      <c r="B43" s="104" t="inlineStr">
        <is>
          <t>Sales &amp; Fee Payment</t>
        </is>
      </c>
      <c r="C43" s="104" t="inlineStr">
        <is>
          <t>OQ-07</t>
        </is>
      </c>
      <c r="D43" s="104" t="inlineStr">
        <is>
          <t>Khi đổi trạng thái từ Đã thanh toán → Chưa thanh toán, ngày chuyển có bị xóa không?</t>
        </is>
      </c>
      <c r="E43" s="104" t="inlineStr">
        <is>
          <t>TC_AGCY_FEE_027</t>
        </is>
      </c>
      <c r="F43" s="104" t="inlineStr">
        <is>
          <t>AC-08 / TC_AGCY_FEE_027</t>
        </is>
      </c>
    </row>
    <row r="44">
      <c r="A44" s="104" t="inlineStr">
        <is>
          <t>OQ-41</t>
        </is>
      </c>
      <c r="B44" s="104" t="inlineStr">
        <is>
          <t>Sales &amp; Fee Payment</t>
        </is>
      </c>
      <c r="C44" s="104" t="inlineStr">
        <is>
          <t>OQ-08</t>
        </is>
      </c>
      <c r="D44" s="104" t="inlineStr">
        <is>
          <t>Có yêu cầu audit log (ghi nhận ai thay đổi trạng thái, lúc mấy giờ) cho cập nhật trạng thái thanh toán không?</t>
        </is>
      </c>
      <c r="E44" s="104" t="inlineStr">
        <is>
          <t>TC_AGCY_FEE_030 (cần thêm TC verify audit log nếu có)</t>
        </is>
      </c>
      <c r="F44" s="104" t="inlineStr">
        <is>
          <t>AF-07 — TODO (BA)</t>
        </is>
      </c>
    </row>
    <row r="45">
      <c r="A45" s="104" t="inlineStr">
        <is>
          <t>OQ-42</t>
        </is>
      </c>
      <c r="B45" s="104" t="inlineStr">
        <is>
          <t>Sales &amp; Fee Payment</t>
        </is>
      </c>
      <c r="C45" s="104" t="inlineStr">
        <is>
          <t>OQ-09</t>
        </is>
      </c>
      <c r="D45" s="104" t="inlineStr">
        <is>
          <t>Màn hình AW_AGCY_010 khi filter kỳ không có dữ liệu: hiển thị empty state hay vẫn hiển thị tên đại lý với giá trị 0?</t>
        </is>
      </c>
      <c r="E45" s="104" t="inlineStr">
        <is>
          <t>TC_AGCY_FEE_005</t>
        </is>
      </c>
      <c r="F45" s="104" t="inlineStr">
        <is>
          <t>TC_AGCY_FEE_005</t>
        </is>
      </c>
    </row>
    <row r="46">
      <c r="A46" s="104" t="inlineStr">
        <is>
          <t>OQ-43</t>
        </is>
      </c>
      <c r="B46" s="104" t="inlineStr">
        <is>
          <t>Sales &amp; Fee Payment</t>
        </is>
      </c>
      <c r="C46" s="104" t="inlineStr">
        <is>
          <t>OQ-10</t>
        </is>
      </c>
      <c r="D46" s="104" t="inlineStr">
        <is>
          <t>AW_AGCY_012 là modal popup hay inline edit ngay trong hàng danh sách? Có bước confirm trước khi lưu không?</t>
        </is>
      </c>
      <c r="E46" s="104" t="inlineStr">
        <is>
          <t>TC_AGCY_FEE_026 đến TC_AGCY_FEE_030 (ảnh hưởng Steps cụ thể)</t>
        </is>
      </c>
      <c r="F46" s="104" t="inlineStr">
        <is>
          <t>AC-08 / AW_AGCY_012</t>
        </is>
      </c>
    </row>
    <row r="47">
      <c r="A47" s="104" t="inlineStr">
        <is>
          <t>OQ-44</t>
        </is>
      </c>
      <c r="B47" s="104" t="inlineStr">
        <is>
          <t>Referral Dashboard</t>
        </is>
      </c>
      <c r="C47" s="104" t="inlineStr">
        <is>
          <t>OQ-01</t>
        </is>
      </c>
      <c r="D47" s="104" t="inlineStr">
        <is>
          <t>**Định nghĩa "giới thiệu thành công"** — SPEC Story 11 dùng từ "giới thiệu thành công" nhưng không định nghĩa rõ. Chỉ tính pháp nhân trạng thái "Ký"? Hay cả "Đang đàm phán"?</t>
        </is>
      </c>
      <c r="E47" s="104" t="inlineStr">
        <is>
          <t>TC_AGCY_DASH_002, TC_AGCY_DASH_013</t>
        </is>
      </c>
      <c r="F47" s="104" t="inlineStr">
        <is>
          <t>High</t>
        </is>
      </c>
    </row>
    <row r="48">
      <c r="A48" s="104" t="inlineStr">
        <is>
          <t>OQ-45</t>
        </is>
      </c>
      <c r="B48" s="104" t="inlineStr">
        <is>
          <t>Referral Dashboard</t>
        </is>
      </c>
      <c r="C48" s="104" t="inlineStr">
        <is>
          <t>OQ-02</t>
        </is>
      </c>
      <c r="D48" s="104" t="inlineStr">
        <is>
          <t>**Kỳ mặc định khi vào màn hình** — Khi System Admin vào dashboard lần đầu, filter kỳ mặc định là gì? Tháng hiện tại? Quý hiện tại? Toàn thời gian?</t>
        </is>
      </c>
      <c r="E48" s="104" t="inlineStr">
        <is>
          <t>TC_AGCY_DASH_001, TC_AGCY_DASH_005</t>
        </is>
      </c>
      <c r="F48" s="104" t="inlineStr">
        <is>
          <t>High</t>
        </is>
      </c>
    </row>
    <row r="49">
      <c r="A49" s="104" t="inlineStr">
        <is>
          <t>OQ-46</t>
        </is>
      </c>
      <c r="B49" s="104" t="inlineStr">
        <is>
          <t>Referral Dashboard</t>
        </is>
      </c>
      <c r="C49" s="104" t="inlineStr">
        <is>
          <t>OQ-03</t>
        </is>
      </c>
      <c r="D49" s="104" t="inlineStr">
        <is>
          <t>**Loại biểu đồ** — AC-11 ghi "line chart hoặc bar chart" (chưa quyết định). Loại biểu đồ ảnh hưởng đến TC visual state và cách render tháng 0 dữ liệu.</t>
        </is>
      </c>
      <c r="E49" s="104" t="inlineStr">
        <is>
          <t>TC_AGCY_DASH_004, TC_AGCY_DASH_011</t>
        </is>
      </c>
      <c r="F49" s="104" t="inlineStr">
        <is>
          <t>High</t>
        </is>
      </c>
    </row>
    <row r="50">
      <c r="A50" s="104" t="inlineStr">
        <is>
          <t>OQ-47</t>
        </is>
      </c>
      <c r="B50" s="104" t="inlineStr">
        <is>
          <t>Referral Dashboard</t>
        </is>
      </c>
      <c r="C50" s="104" t="inlineStr">
        <is>
          <t>OQ-04</t>
        </is>
      </c>
      <c r="D50" s="104" t="inlineStr">
        <is>
          <t>**Chỉ số "Tổng doanh thu" là tích lũy hay theo kỳ** — Khi chọn filter kỳ = Q1/2026, chỉ số doanh thu chỉ tính Q1/2026 hay vẫn hiển thị tích lũy toàn thời gian? Điều này cũng ảnh hưởng chỉ số tổng pháp nhân.</t>
        </is>
      </c>
      <c r="E50" s="104" t="inlineStr">
        <is>
          <t>TC_AGCY_DASH_003, TC_AGCY_DASH_005</t>
        </is>
      </c>
      <c r="F50" s="104" t="inlineStr">
        <is>
          <t>High</t>
        </is>
      </c>
    </row>
    <row r="51">
      <c r="A51" s="104" t="inlineStr">
        <is>
          <t>OQ-48</t>
        </is>
      </c>
      <c r="B51" s="104" t="inlineStr">
        <is>
          <t>Referral Dashboard</t>
        </is>
      </c>
      <c r="C51" s="104" t="inlineStr">
        <is>
          <t>OQ-05</t>
        </is>
      </c>
      <c r="D51" s="104" t="inlineStr">
        <is>
          <t>**Cơ chế chuyển đổi tháng/quý** — Filter kỳ là 1 dropdown chọn kỳ cụ thể, hay 2 control (1 chọn granularity tháng/quý, 1 chọn kỳ cụ thể)?</t>
        </is>
      </c>
      <c r="E51" s="104" t="inlineStr">
        <is>
          <t>TC_AGCY_DASH_005, TC_AGCY_DASH_006</t>
        </is>
      </c>
      <c r="F51" s="104" t="inlineStr">
        <is>
          <t>Medium</t>
        </is>
      </c>
    </row>
    <row r="52">
      <c r="A52" s="104" t="inlineStr">
        <is>
          <t>OQ-49</t>
        </is>
      </c>
      <c r="B52" s="104" t="inlineStr">
        <is>
          <t>Referral Dashboard</t>
        </is>
      </c>
      <c r="C52" s="104" t="inlineStr">
        <is>
          <t>OQ-06</t>
        </is>
      </c>
      <c r="D52" s="104" t="inlineStr">
        <is>
          <t>**Nút reset filter** — Có nút "Reset" hoặc "Xóa filter" riêng không, hay phải chọn lại thủ công từng filter?</t>
        </is>
      </c>
      <c r="E52" s="104" t="inlineStr">
        <is>
          <t>TC_AGCY_DASH_009</t>
        </is>
      </c>
      <c r="F52" s="104" t="inlineStr">
        <is>
          <t>Medium</t>
        </is>
      </c>
    </row>
    <row r="53">
      <c r="A53" s="104" t="inlineStr">
        <is>
          <t>OQ-50</t>
        </is>
      </c>
      <c r="B53" s="104" t="inlineStr">
        <is>
          <t>Referral Dashboard</t>
        </is>
      </c>
      <c r="C53" s="104" t="inlineStr">
        <is>
          <t>OQ-07</t>
        </is>
      </c>
      <c r="D53" s="104" t="inlineStr">
        <is>
          <t>**Nội dung thông báo empty state (AF-06)** — Text hiển thị khi không có dữ liệu là gì? Tiếng Nhật hay tiếng Anh/tiếng Việt? Có CTA (VD: "Đăng ký đại lý mới") không?</t>
        </is>
      </c>
      <c r="E53" s="104" t="inlineStr">
        <is>
          <t>TC_AGCY_DASH_010</t>
        </is>
      </c>
      <c r="F53" s="104" t="inlineStr">
        <is>
          <t>Medium</t>
        </is>
      </c>
    </row>
    <row r="54">
      <c r="A54" s="104" t="inlineStr">
        <is>
          <t>OQ-51</t>
        </is>
      </c>
      <c r="B54" s="104" t="inlineStr">
        <is>
          <t>Referral Dashboard</t>
        </is>
      </c>
      <c r="C54" s="104" t="inlineStr">
        <is>
          <t>OQ-08</t>
        </is>
      </c>
      <c r="D54" s="104" t="inlineStr">
        <is>
          <t>**Biểu đồ thể hiện chỉ số nào** — Biểu đồ xu hướng theo tháng/quý vẽ số pháp nhân, doanh thu, hay cả hai (dual-axis)? Điều này ảnh hưởng trực tiếp đến Expected Results của các TC biểu đồ.</t>
        </is>
      </c>
      <c r="E54" s="104" t="inlineStr">
        <is>
          <t>TC_AGCY_DASH_004, TC_AGCY_DASH_007</t>
        </is>
      </c>
      <c r="F54" s="104"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2026-09-21T07:38:43Z</dcterms:created>
  <dcterms:modified xsi:type="dcterms:W3CDTF">2026-09-21T07:38:44Z</dcterms:modified>
</cp:coreProperties>
</file>