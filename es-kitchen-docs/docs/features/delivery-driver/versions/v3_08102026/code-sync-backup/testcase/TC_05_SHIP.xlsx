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st view point" sheetId="1" state="visible" r:id="rId1"/>
    <sheet xmlns:r="http://schemas.openxmlformats.org/officeDocument/2006/relationships" name="Summary" sheetId="2" state="visible" r:id="rId2"/>
    <sheet xmlns:r="http://schemas.openxmlformats.org/officeDocument/2006/relationships" name="DA_LIST_001 Tab Nhận kho" sheetId="3" state="visible" r:id="rId3"/>
    <sheet xmlns:r="http://schemas.openxmlformats.org/officeDocument/2006/relationships" name="DA_LIST_002 Tab Chưa giao" sheetId="4" state="visible" r:id="rId4"/>
    <sheet xmlns:r="http://schemas.openxmlformats.org/officeDocument/2006/relationships" name="DA_LIST_003 Tab Hoàn tất" sheetId="5" state="visible" r:id="rId5"/>
    <sheet xmlns:r="http://schemas.openxmlformats.org/officeDocument/2006/relationships" name="Screen name_evidence" sheetId="6" state="visible" r:id="rId6"/>
    <sheet xmlns:r="http://schemas.openxmlformats.org/officeDocument/2006/relationships" name="Test Cases SHIP — 配送一覧 (Danh" sheetId="7" state="visible" r:id="rId7"/>
    <sheet xmlns:r="http://schemas.openxmlformats.org/officeDocument/2006/relationships" name="Test Data Reference" sheetId="8" state="visible" r:id="rId8"/>
  </sheets>
  <definedNames/>
  <calcPr calcId="124519" fullCalcOnLoad="1"/>
</workbook>
</file>

<file path=xl/styles.xml><?xml version="1.0" encoding="utf-8"?>
<styleSheet xmlns="http://schemas.openxmlformats.org/spreadsheetml/2006/main">
  <numFmts count="2">
    <numFmt numFmtId="164" formatCode="0.0%"/>
    <numFmt numFmtId="165" formatCode="mm/dd/yyyy"/>
  </numFmts>
  <fonts count="19">
    <font>
      <name val="Arial"/>
      <color rgb="FF000000"/>
      <sz val="10"/>
      <scheme val="minor"/>
    </font>
    <font>
      <name val="Arial"/>
      <color theme="1"/>
      <scheme val="minor"/>
    </font>
    <font>
      <name val="Arial"/>
      <color theme="1"/>
    </font>
    <font>
      <name val="Arial"/>
      <b val="1"/>
      <color theme="1"/>
    </font>
    <font/>
    <font>
      <name val="Arial"/>
      <color rgb="FFFFFFFF"/>
      <sz val="12"/>
      <scheme val="minor"/>
    </font>
    <font>
      <name val="Arial"/>
      <color rgb="FF000000"/>
      <scheme val="minor"/>
    </font>
    <font>
      <name val="Arial"/>
      <color rgb="FF0000FF"/>
      <u val="single"/>
    </font>
    <font>
      <name val="&quot;Google Sans&quot;"/>
      <color rgb="FF222222"/>
      <sz val="11"/>
    </font>
    <font>
      <name val="Arial"/>
      <color rgb="FF000000"/>
    </font>
    <font>
      <name val="Arial"/>
      <b val="1"/>
      <color theme="1"/>
      <scheme val="minor"/>
    </font>
    <font>
      <name val="Arial"/>
      <color theme="1"/>
      <sz val="10"/>
      <scheme val="minor"/>
    </font>
    <font>
      <name val="Arial"/>
      <b val="1"/>
      <color theme="1"/>
      <sz val="10"/>
      <scheme val="minor"/>
    </font>
    <font>
      <name val="Arial"/>
      <color theme="1"/>
      <sz val="9"/>
      <scheme val="minor"/>
    </font>
    <font>
      <name val="Arial"/>
      <color theme="1"/>
      <sz val="11"/>
      <scheme val="minor"/>
    </font>
    <font>
      <name val="Arial"/>
      <b val="1"/>
      <color theme="1"/>
      <sz val="11"/>
    </font>
    <font>
      <name val="Arial"/>
      <b val="1"/>
      <color theme="1"/>
      <sz val="12"/>
      <scheme val="minor"/>
    </font>
    <font>
      <i val="1"/>
      <color rgb="00555555"/>
      <sz val="10"/>
    </font>
    <font>
      <b val="1"/>
      <color rgb="00FFFFFF"/>
      <sz val="10"/>
    </font>
  </fonts>
  <fills count="7">
    <fill>
      <patternFill/>
    </fill>
    <fill>
      <patternFill patternType="lightGray"/>
    </fill>
    <fill>
      <patternFill patternType="solid">
        <fgColor theme="9"/>
        <bgColor theme="9"/>
      </patternFill>
    </fill>
    <fill>
      <patternFill patternType="solid">
        <fgColor rgb="FFFFFFFF"/>
        <bgColor rgb="FFFFFFFF"/>
      </patternFill>
    </fill>
    <fill>
      <patternFill patternType="solid">
        <fgColor rgb="FF46BDC6"/>
        <bgColor rgb="FF46BDC6"/>
      </patternFill>
    </fill>
    <fill>
      <patternFill patternType="solid">
        <fgColor theme="0"/>
        <bgColor theme="0"/>
      </patternFill>
    </fill>
    <fill>
      <patternFill patternType="solid">
        <fgColor rgb="0046BDC6"/>
        <bgColor rgb="0046BDC6"/>
      </patternFill>
    </fill>
  </fills>
  <borders count="26">
    <border/>
    <border>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ttom style="medium">
        <color rgb="FF000000"/>
      </bottom>
    </border>
    <border>
      <right style="thin">
        <color rgb="FF000000"/>
      </right>
      <top style="medium">
        <color rgb="FF000000"/>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dotted">
        <color rgb="FF46BDC6"/>
      </left>
      <right style="dotted">
        <color rgb="FF46BDC6"/>
      </right>
      <top style="dotted">
        <color rgb="FF46BDC6"/>
      </top>
    </border>
    <border>
      <left style="dotted">
        <color rgb="FF46BDC6"/>
      </left>
      <top style="dotted">
        <color rgb="FF46BDC6"/>
      </top>
    </border>
    <border>
      <left style="thin">
        <color rgb="FFFFFFFF"/>
      </left>
      <right style="thin">
        <color rgb="FFFFFFFF"/>
      </right>
      <top style="thin">
        <color rgb="FFFFFFFF"/>
      </top>
      <bottom style="thin">
        <color rgb="FFFFFFFF"/>
      </bottom>
    </border>
    <border>
      <left style="thin">
        <color rgb="FF46BDC6"/>
      </left>
      <right style="thin">
        <color rgb="FF46BDC6"/>
      </right>
      <top style="thin">
        <color rgb="FF46BDC6"/>
      </top>
      <bottom style="thin">
        <color rgb="FF46BDC6"/>
      </bottom>
    </border>
    <border>
      <left style="thin">
        <color rgb="FF46BDC6"/>
      </left>
      <right style="thin">
        <color rgb="FF46BDC6"/>
      </right>
      <bottom style="thin">
        <color rgb="FF46BDC6"/>
      </bottom>
    </border>
    <border>
      <left style="thin">
        <color rgb="FF000000"/>
      </left>
      <top style="thin">
        <color rgb="FF000000"/>
      </top>
      <bottom style="thin">
        <color rgb="FF000000"/>
      </bottom>
    </border>
    <border>
      <top style="thin">
        <color rgb="FFFFFFFF"/>
      </top>
    </border>
    <border>
      <right style="thin">
        <color rgb="FFFFFFFF"/>
      </right>
      <top style="thin">
        <color rgb="FFFFFFFF"/>
      </top>
    </border>
    <border>
      <left style="thin">
        <color rgb="00CCCCCC"/>
      </left>
      <right style="thin">
        <color rgb="00CCCCCC"/>
      </right>
      <top style="thin">
        <color rgb="00CCCCCC"/>
      </top>
      <bottom style="thin">
        <color rgb="00CCCCCC"/>
      </bottom>
    </border>
  </borders>
  <cellStyleXfs count="1">
    <xf numFmtId="0" fontId="0" fillId="0" borderId="0"/>
  </cellStyleXfs>
  <cellXfs count="105">
    <xf numFmtId="0" fontId="0" fillId="0" borderId="0" applyAlignment="1" pivotButton="0" quotePrefix="0" xfId="0">
      <alignment vertical="bottom"/>
    </xf>
    <xf numFmtId="0" fontId="1" fillId="0" borderId="0" applyAlignment="1" pivotButton="0" quotePrefix="0" xfId="0">
      <alignment vertical="center"/>
    </xf>
    <xf numFmtId="0" fontId="2" fillId="0" borderId="0" applyAlignment="1" pivotButton="0" quotePrefix="0" xfId="0">
      <alignment vertical="center"/>
    </xf>
    <xf numFmtId="0" fontId="2" fillId="0" borderId="1" applyAlignment="1" pivotButton="0" quotePrefix="0" xfId="0">
      <alignment vertical="center"/>
    </xf>
    <xf numFmtId="0" fontId="2" fillId="0" borderId="2" applyAlignment="1" pivotButton="0" quotePrefix="0" xfId="0">
      <alignment vertical="center"/>
    </xf>
    <xf numFmtId="0" fontId="3" fillId="2" borderId="3" applyAlignment="1" pivotButton="0" quotePrefix="0" xfId="0">
      <alignment horizontal="center" vertical="center"/>
    </xf>
    <xf numFmtId="0" fontId="3" fillId="2" borderId="4" applyAlignment="1" pivotButton="0" quotePrefix="0" xfId="0">
      <alignment horizontal="center" vertical="center" wrapText="1"/>
    </xf>
    <xf numFmtId="0" fontId="2" fillId="0" borderId="5" applyAlignment="1" pivotButton="0" quotePrefix="0" xfId="0">
      <alignment horizontal="center" vertical="center"/>
    </xf>
    <xf numFmtId="0" fontId="3" fillId="0" borderId="2" applyAlignment="1" pivotButton="0" quotePrefix="0" xfId="0">
      <alignment vertical="center" wrapText="1"/>
    </xf>
    <xf numFmtId="0" fontId="2" fillId="0" borderId="6" applyAlignment="1" pivotButton="0" quotePrefix="0" xfId="0">
      <alignment vertical="center" wrapText="1"/>
    </xf>
    <xf numFmtId="0" fontId="4" fillId="0" borderId="2" pivotButton="0" quotePrefix="0" xfId="0"/>
    <xf numFmtId="0" fontId="2" fillId="0" borderId="6" applyAlignment="1" pivotButton="0" quotePrefix="0" xfId="0">
      <alignment vertical="center" wrapText="1"/>
    </xf>
    <xf numFmtId="0" fontId="2" fillId="3" borderId="6" applyAlignment="1" pivotButton="0" quotePrefix="0" xfId="0">
      <alignment vertical="center" wrapText="1"/>
    </xf>
    <xf numFmtId="0" fontId="2" fillId="3" borderId="6" applyAlignment="1" pivotButton="0" quotePrefix="0" xfId="0">
      <alignment vertical="center" wrapText="1"/>
    </xf>
    <xf numFmtId="0" fontId="2" fillId="0" borderId="7" applyAlignment="1" pivotButton="0" quotePrefix="0" xfId="0">
      <alignment horizontal="center" vertical="center"/>
    </xf>
    <xf numFmtId="0" fontId="4" fillId="0" borderId="6" pivotButton="0" quotePrefix="0" xfId="0"/>
    <xf numFmtId="0" fontId="2" fillId="3" borderId="3" applyAlignment="1" pivotButton="0" quotePrefix="0" xfId="0">
      <alignment vertical="center" wrapText="1"/>
    </xf>
    <xf numFmtId="0" fontId="2" fillId="0" borderId="8" applyAlignment="1" pivotButton="0" quotePrefix="0" xfId="0">
      <alignment horizontal="center" vertical="center"/>
    </xf>
    <xf numFmtId="0" fontId="2" fillId="0" borderId="8"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horizontal="center" vertical="center"/>
    </xf>
    <xf numFmtId="0" fontId="2" fillId="0" borderId="6" applyAlignment="1" pivotButton="0" quotePrefix="0" xfId="0">
      <alignment vertical="center" wrapText="1"/>
    </xf>
    <xf numFmtId="0" fontId="2" fillId="0" borderId="2" applyAlignment="1" pivotButton="0" quotePrefix="0" xfId="0">
      <alignment vertical="center" wrapText="1"/>
    </xf>
    <xf numFmtId="0" fontId="3" fillId="3" borderId="2" applyAlignment="1" pivotButton="0" quotePrefix="0" xfId="0">
      <alignment vertical="center" wrapText="1"/>
    </xf>
    <xf numFmtId="0" fontId="2" fillId="0" borderId="9" applyAlignment="1" pivotButton="0" quotePrefix="0" xfId="0">
      <alignment vertical="center" wrapText="1"/>
    </xf>
    <xf numFmtId="0" fontId="2" fillId="0" borderId="3" applyAlignment="1" pivotButton="0" quotePrefix="0" xfId="0">
      <alignment vertical="center" wrapText="1"/>
    </xf>
    <xf numFmtId="0" fontId="2" fillId="0" borderId="2" applyAlignment="1" pivotButton="0" quotePrefix="0" xfId="0">
      <alignment vertical="center" wrapText="1"/>
    </xf>
    <xf numFmtId="0" fontId="3" fillId="0" borderId="2" applyAlignment="1" pivotButton="0" quotePrefix="0" xfId="0">
      <alignment vertical="center" wrapText="1"/>
    </xf>
    <xf numFmtId="0" fontId="2" fillId="0" borderId="9" applyAlignment="1" pivotButton="0" quotePrefix="0" xfId="0">
      <alignment vertical="center" wrapText="1"/>
    </xf>
    <xf numFmtId="0" fontId="2" fillId="0" borderId="3" applyAlignment="1" pivotButton="0" quotePrefix="0" xfId="0">
      <alignment wrapText="1"/>
    </xf>
    <xf numFmtId="0" fontId="2" fillId="0" borderId="10" applyAlignment="1" pivotButton="0" quotePrefix="0" xfId="0">
      <alignment horizontal="center" vertical="center"/>
    </xf>
    <xf numFmtId="0" fontId="2" fillId="0" borderId="7" applyAlignment="1" pivotButton="0" quotePrefix="0" xfId="0">
      <alignment wrapText="1"/>
    </xf>
    <xf numFmtId="0" fontId="2" fillId="0" borderId="3" applyAlignment="1" pivotButton="0" quotePrefix="0" xfId="0">
      <alignment wrapText="1"/>
    </xf>
    <xf numFmtId="0" fontId="2" fillId="0" borderId="7" applyAlignment="1" pivotButton="0" quotePrefix="0" xfId="0">
      <alignment wrapText="1"/>
    </xf>
    <xf numFmtId="0" fontId="2" fillId="3" borderId="9" applyAlignment="1" pivotButton="0" quotePrefix="0" xfId="0">
      <alignment vertical="center" wrapText="1"/>
    </xf>
    <xf numFmtId="0" fontId="2" fillId="3" borderId="2" applyAlignment="1" pivotButton="0" quotePrefix="0" xfId="0">
      <alignment vertical="center" wrapText="1"/>
    </xf>
    <xf numFmtId="0" fontId="2" fillId="0" borderId="11" applyAlignment="1" pivotButton="0" quotePrefix="0" xfId="0">
      <alignment vertical="center" wrapText="1"/>
    </xf>
    <xf numFmtId="0" fontId="2" fillId="0" borderId="12" applyAlignment="1" pivotButton="0" quotePrefix="0" xfId="0">
      <alignment horizontal="center" vertical="center"/>
    </xf>
    <xf numFmtId="0" fontId="2" fillId="0" borderId="13" applyAlignment="1" pivotButton="0" quotePrefix="0" xfId="0">
      <alignment vertical="center" wrapText="1"/>
    </xf>
    <xf numFmtId="0" fontId="3" fillId="0" borderId="9" applyAlignment="1" pivotButton="0" quotePrefix="0" xfId="0">
      <alignment vertical="center" wrapText="1"/>
    </xf>
    <xf numFmtId="0" fontId="1" fillId="0" borderId="0" applyAlignment="1" pivotButton="0" quotePrefix="0" xfId="0">
      <alignment horizontal="center"/>
    </xf>
    <xf numFmtId="0" fontId="5" fillId="2" borderId="14" applyAlignment="1" pivotButton="0" quotePrefix="0" xfId="0">
      <alignment horizontal="center" vertical="center"/>
    </xf>
    <xf numFmtId="0" fontId="4" fillId="0" borderId="15" pivotButton="0" quotePrefix="0" xfId="0"/>
    <xf numFmtId="0" fontId="4" fillId="0" borderId="16" pivotButton="0" quotePrefix="0" xfId="0"/>
    <xf numFmtId="0" fontId="5" fillId="2" borderId="14" applyAlignment="1" pivotButton="0" quotePrefix="0" xfId="0">
      <alignment horizontal="center" wrapText="1"/>
    </xf>
    <xf numFmtId="0" fontId="5" fillId="2" borderId="17" applyAlignment="1" pivotButton="0" quotePrefix="0" xfId="0">
      <alignment horizontal="center"/>
    </xf>
    <xf numFmtId="0" fontId="5" fillId="2" borderId="18" applyAlignment="1" pivotButton="0" quotePrefix="0" xfId="0">
      <alignment horizontal="center"/>
    </xf>
    <xf numFmtId="0" fontId="5" fillId="2" borderId="19" applyAlignment="1" pivotButton="0" quotePrefix="0" xfId="0">
      <alignment horizontal="center"/>
    </xf>
    <xf numFmtId="0" fontId="6" fillId="0" borderId="20" applyAlignment="1" pivotButton="0" quotePrefix="0" xfId="0">
      <alignment horizontal="center"/>
    </xf>
    <xf numFmtId="0" fontId="7" fillId="3" borderId="20" applyAlignment="1" pivotButton="0" quotePrefix="0" xfId="0">
      <alignment horizontal="center"/>
    </xf>
    <xf numFmtId="0" fontId="1" fillId="0" borderId="20" applyAlignment="1" pivotButton="0" quotePrefix="0" xfId="0">
      <alignment horizontal="center"/>
    </xf>
    <xf numFmtId="0" fontId="1" fillId="0" borderId="21" applyAlignment="1" pivotButton="0" quotePrefix="0" xfId="0">
      <alignment horizontal="center"/>
    </xf>
    <xf numFmtId="164" fontId="1" fillId="0" borderId="21" applyAlignment="1" pivotButton="0" quotePrefix="0" xfId="0">
      <alignment horizontal="center"/>
    </xf>
    <xf numFmtId="0" fontId="8" fillId="0" borderId="20" applyAlignment="1" pivotButton="0" quotePrefix="0" xfId="0">
      <alignment horizontal="center"/>
    </xf>
    <xf numFmtId="0" fontId="9" fillId="3" borderId="20" applyAlignment="1" pivotButton="0" quotePrefix="0" xfId="0">
      <alignment horizontal="center"/>
    </xf>
    <xf numFmtId="0" fontId="10" fillId="4" borderId="3" applyAlignment="1" pivotButton="0" quotePrefix="0" xfId="0">
      <alignment horizontal="center" vertical="center" wrapText="1"/>
    </xf>
    <xf numFmtId="0" fontId="10" fillId="4" borderId="3" applyAlignment="1" pivotButton="0" quotePrefix="0" xfId="0">
      <alignment horizontal="center" vertical="center" wrapText="1"/>
    </xf>
    <xf numFmtId="0" fontId="11" fillId="0" borderId="3" applyAlignment="1" pivotButton="0" quotePrefix="0" xfId="0">
      <alignment vertical="center"/>
    </xf>
    <xf numFmtId="0" fontId="1" fillId="0" borderId="3" applyAlignment="1" pivotButton="0" quotePrefix="0" xfId="0">
      <alignment vertical="center"/>
    </xf>
    <xf numFmtId="0" fontId="11" fillId="3" borderId="3" applyAlignment="1" pivotButton="0" quotePrefix="0" xfId="0">
      <alignment horizontal="center" vertical="center"/>
    </xf>
    <xf numFmtId="0" fontId="12" fillId="3" borderId="3" applyAlignment="1" pivotButton="0" quotePrefix="0" xfId="0">
      <alignment horizontal="center" vertical="center"/>
    </xf>
    <xf numFmtId="0" fontId="1" fillId="0" borderId="3" applyAlignment="1" pivotButton="0" quotePrefix="0" xfId="0">
      <alignment wrapText="1"/>
    </xf>
    <xf numFmtId="0" fontId="1" fillId="0" borderId="3" pivotButton="0" quotePrefix="0" xfId="0"/>
    <xf numFmtId="0" fontId="1" fillId="0" borderId="3" applyAlignment="1" pivotButton="0" quotePrefix="0" xfId="0">
      <alignment wrapText="1"/>
    </xf>
    <xf numFmtId="0" fontId="11" fillId="0" borderId="3" applyAlignment="1" pivotButton="0" quotePrefix="0" xfId="0">
      <alignment horizontal="left" vertical="center" wrapText="1"/>
    </xf>
    <xf numFmtId="0" fontId="13" fillId="0" borderId="3" applyAlignment="1" pivotButton="0" quotePrefix="0" xfId="0">
      <alignment horizontal="center" vertical="center"/>
    </xf>
    <xf numFmtId="165" fontId="13" fillId="0" borderId="3" applyAlignment="1" pivotButton="0" quotePrefix="0" xfId="0">
      <alignment horizontal="center" vertical="center" wrapText="1"/>
    </xf>
    <xf numFmtId="0" fontId="1" fillId="0" borderId="3" applyAlignment="1" pivotButton="0" quotePrefix="0" xfId="0">
      <alignment vertical="center" wrapText="1"/>
    </xf>
    <xf numFmtId="0" fontId="11" fillId="0" borderId="3" applyAlignment="1" pivotButton="0" quotePrefix="0" xfId="0">
      <alignment horizontal="left" vertical="center"/>
    </xf>
    <xf numFmtId="0" fontId="1" fillId="0" borderId="3" applyAlignment="1" pivotButton="0" quotePrefix="0" xfId="0">
      <alignment horizontal="left" vertical="center"/>
    </xf>
    <xf numFmtId="0" fontId="11" fillId="0" borderId="3" applyAlignment="1" pivotButton="0" quotePrefix="0" xfId="0">
      <alignment horizontal="left" vertical="center" wrapText="1"/>
    </xf>
    <xf numFmtId="0" fontId="1" fillId="0" borderId="3" pivotButton="0" quotePrefix="0" xfId="0"/>
    <xf numFmtId="0" fontId="1" fillId="0" borderId="3" applyAlignment="1" pivotButton="0" quotePrefix="0" xfId="0">
      <alignment vertical="center" wrapText="1"/>
    </xf>
    <xf numFmtId="0" fontId="11" fillId="0" borderId="3" applyAlignment="1" pivotButton="0" quotePrefix="0" xfId="0">
      <alignment vertical="center" wrapText="1"/>
    </xf>
    <xf numFmtId="0" fontId="14" fillId="0" borderId="3" applyAlignment="1" pivotButton="0" quotePrefix="0" xfId="0">
      <alignment horizontal="left" vertical="center" wrapText="1"/>
    </xf>
    <xf numFmtId="0" fontId="11" fillId="0" borderId="3" applyAlignment="1" pivotButton="0" quotePrefix="0" xfId="0">
      <alignment vertical="center" wrapText="1"/>
    </xf>
    <xf numFmtId="0" fontId="14" fillId="0" borderId="3" applyAlignment="1" pivotButton="0" quotePrefix="0" xfId="0">
      <alignment vertical="center" wrapText="1"/>
    </xf>
    <xf numFmtId="0" fontId="11" fillId="3" borderId="3" applyAlignment="1" pivotButton="0" quotePrefix="0" xfId="0">
      <alignment vertical="center" wrapText="1"/>
    </xf>
    <xf numFmtId="0" fontId="11" fillId="0" borderId="3" applyAlignment="1" pivotButton="0" quotePrefix="0" xfId="0">
      <alignment vertical="bottom"/>
    </xf>
    <xf numFmtId="0" fontId="11" fillId="5" borderId="3" applyAlignment="1" pivotButton="0" quotePrefix="0" xfId="0">
      <alignment vertical="center" wrapText="1"/>
    </xf>
    <xf numFmtId="0" fontId="1" fillId="3" borderId="3" applyAlignment="1" pivotButton="0" quotePrefix="0" xfId="0">
      <alignment vertical="center" wrapText="1"/>
    </xf>
    <xf numFmtId="0" fontId="1" fillId="0" borderId="3" applyAlignment="1" pivotButton="0" quotePrefix="0" xfId="0">
      <alignment vertical="center" wrapText="1"/>
    </xf>
    <xf numFmtId="0" fontId="11" fillId="0" borderId="3" applyAlignment="1" pivotButton="0" quotePrefix="0" xfId="0">
      <alignment horizontal="center" vertical="center"/>
    </xf>
    <xf numFmtId="0" fontId="12" fillId="0" borderId="3" applyAlignment="1" pivotButton="0" quotePrefix="0" xfId="0">
      <alignment horizontal="center" vertical="center"/>
    </xf>
    <xf numFmtId="0" fontId="11" fillId="0" borderId="3" applyAlignment="1" pivotButton="0" quotePrefix="0" xfId="0">
      <alignment vertical="top" wrapText="1"/>
    </xf>
    <xf numFmtId="0" fontId="11" fillId="0" borderId="3" applyAlignment="1" pivotButton="0" quotePrefix="0" xfId="0">
      <alignment wrapText="1"/>
    </xf>
    <xf numFmtId="14" fontId="11" fillId="0" borderId="3" applyAlignment="1" pivotButton="0" quotePrefix="0" xfId="0">
      <alignment wrapText="1"/>
    </xf>
    <xf numFmtId="0" fontId="11" fillId="0" borderId="3" applyAlignment="1" pivotButton="0" quotePrefix="0" xfId="0">
      <alignment vertical="bottom" wrapText="1"/>
    </xf>
    <xf numFmtId="0" fontId="15" fillId="2" borderId="3" applyAlignment="1" pivotButton="0" quotePrefix="0" xfId="0">
      <alignment horizontal="center" vertical="center" wrapText="1"/>
    </xf>
    <xf numFmtId="0" fontId="15" fillId="2" borderId="22" applyAlignment="1" pivotButton="0" quotePrefix="0" xfId="0">
      <alignment horizontal="center" vertical="center" wrapText="1"/>
    </xf>
    <xf numFmtId="0" fontId="16" fillId="0" borderId="3" applyAlignment="1" pivotButton="0" quotePrefix="0" xfId="0">
      <alignment horizontal="center" vertical="center"/>
    </xf>
    <xf numFmtId="0" fontId="11" fillId="3" borderId="3" applyAlignment="1" pivotButton="0" quotePrefix="0" xfId="0">
      <alignment horizontal="left" vertical="center" wrapText="1"/>
    </xf>
    <xf numFmtId="0" fontId="16" fillId="0" borderId="3" pivotButton="0" quotePrefix="0" xfId="0"/>
    <xf numFmtId="0" fontId="0" fillId="0" borderId="0" pivotButton="0" quotePrefix="0" xfId="0"/>
    <xf numFmtId="0" fontId="3" fillId="0" borderId="6" applyAlignment="1" pivotButton="0" quotePrefix="0" xfId="0">
      <alignment vertical="center" wrapText="1"/>
    </xf>
    <xf numFmtId="0" fontId="0" fillId="0" borderId="2" pivotButton="0" quotePrefix="0" xfId="0"/>
    <xf numFmtId="0" fontId="0" fillId="0" borderId="6" pivotButton="0" quotePrefix="0" xfId="0"/>
    <xf numFmtId="0" fontId="3" fillId="3" borderId="6" applyAlignment="1" pivotButton="0" quotePrefix="0" xfId="0">
      <alignment vertical="center" wrapText="1"/>
    </xf>
    <xf numFmtId="0" fontId="5" fillId="2" borderId="19" applyAlignment="1" pivotButton="0" quotePrefix="0" xfId="0">
      <alignment horizontal="center" vertical="center"/>
    </xf>
    <xf numFmtId="0" fontId="0" fillId="0" borderId="15" pivotButton="0" quotePrefix="0" xfId="0"/>
    <xf numFmtId="0" fontId="0" fillId="0" borderId="16" pivotButton="0" quotePrefix="0" xfId="0"/>
    <xf numFmtId="0" fontId="5" fillId="2" borderId="19" applyAlignment="1" pivotButton="0" quotePrefix="0" xfId="0">
      <alignment horizontal="center" wrapText="1"/>
    </xf>
    <xf numFmtId="0" fontId="17" fillId="0" borderId="0" applyAlignment="1" pivotButton="0" quotePrefix="0" xfId="0">
      <alignment vertical="top" wrapText="1"/>
    </xf>
    <xf numFmtId="0" fontId="18" fillId="6" borderId="25" applyAlignment="1" pivotButton="0" quotePrefix="0" xfId="0">
      <alignment horizontal="center" vertical="center" wrapText="1"/>
    </xf>
    <xf numFmtId="0" fontId="0" fillId="0" borderId="25"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996"/>
  <sheetViews>
    <sheetView showGridLines="0" workbookViewId="0">
      <selection activeCell="A1" sqref="A1"/>
    </sheetView>
  </sheetViews>
  <sheetFormatPr baseColWidth="8" defaultColWidth="12.63" defaultRowHeight="15.75" customHeight="1"/>
  <cols>
    <col width="5.88" customWidth="1" style="93" min="1" max="1"/>
    <col width="29.25" customWidth="1" style="93" min="3" max="3"/>
    <col width="81.75" customWidth="1" style="93" min="4" max="4"/>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9" t="n"/>
      <c r="B2" s="3" t="n"/>
      <c r="C2" s="3" t="n"/>
      <c r="D2" s="3" t="n"/>
      <c r="E2" s="19" t="n"/>
      <c r="F2" s="19" t="n"/>
      <c r="G2" s="19" t="n"/>
      <c r="H2" s="19" t="n"/>
      <c r="I2" s="19" t="n"/>
      <c r="J2" s="19" t="n"/>
      <c r="K2" s="19" t="n"/>
      <c r="L2" s="19" t="n"/>
      <c r="M2" s="19" t="n"/>
      <c r="N2" s="19" t="n"/>
      <c r="O2" s="19" t="n"/>
      <c r="P2" s="19" t="n"/>
      <c r="Q2" s="19" t="n"/>
      <c r="R2" s="19" t="n"/>
      <c r="S2" s="19" t="n"/>
      <c r="T2" s="19" t="n"/>
      <c r="U2" s="19" t="n"/>
      <c r="V2" s="19" t="n"/>
      <c r="W2" s="19" t="n"/>
      <c r="X2" s="19" t="n"/>
      <c r="Y2" s="19" t="n"/>
      <c r="Z2" s="19" t="n"/>
    </row>
    <row r="3" ht="21" customHeight="1" s="93">
      <c r="A3" s="4" t="n"/>
      <c r="B3" s="5" t="inlineStr">
        <is>
          <t>No</t>
        </is>
      </c>
      <c r="C3" s="6" t="inlineStr">
        <is>
          <t>Screen name</t>
        </is>
      </c>
      <c r="D3" s="6" t="inlineStr">
        <is>
          <t>Test view point</t>
        </is>
      </c>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row>
    <row r="4">
      <c r="A4" s="4" t="n"/>
      <c r="B4" s="7">
        <f>row()-3</f>
        <v/>
      </c>
      <c r="C4" s="94" t="n"/>
      <c r="D4" s="21" t="n"/>
      <c r="E4" s="19" t="n"/>
      <c r="F4" s="19" t="n"/>
      <c r="G4" s="19" t="n"/>
      <c r="H4" s="19" t="n"/>
      <c r="I4" s="19" t="n"/>
      <c r="J4" s="19" t="n"/>
      <c r="K4" s="19" t="n"/>
      <c r="L4" s="19" t="n"/>
      <c r="M4" s="19" t="n"/>
      <c r="N4" s="19" t="n"/>
      <c r="O4" s="19" t="n"/>
      <c r="P4" s="19" t="n"/>
      <c r="Q4" s="19" t="n"/>
      <c r="R4" s="19" t="n"/>
      <c r="S4" s="19" t="n"/>
      <c r="T4" s="19" t="n"/>
      <c r="U4" s="19" t="n"/>
      <c r="V4" s="19" t="n"/>
      <c r="W4" s="19" t="n"/>
      <c r="X4" s="19" t="n"/>
      <c r="Y4" s="19" t="n"/>
      <c r="Z4" s="19" t="n"/>
    </row>
    <row r="5">
      <c r="A5" s="4" t="n"/>
      <c r="B5" s="7">
        <f>row()-3</f>
        <v/>
      </c>
      <c r="C5" s="95" t="n"/>
      <c r="D5" s="21" t="n"/>
      <c r="E5" s="19" t="n"/>
      <c r="F5" s="19" t="n"/>
      <c r="G5" s="19" t="n"/>
      <c r="H5" s="19" t="n"/>
      <c r="I5" s="19" t="n"/>
      <c r="J5" s="19" t="n"/>
      <c r="K5" s="19" t="n"/>
      <c r="L5" s="19" t="n"/>
      <c r="M5" s="19" t="n"/>
      <c r="N5" s="19" t="n"/>
      <c r="O5" s="19" t="n"/>
      <c r="P5" s="19" t="n"/>
      <c r="Q5" s="19" t="n"/>
      <c r="R5" s="19" t="n"/>
      <c r="S5" s="19" t="n"/>
      <c r="T5" s="19" t="n"/>
      <c r="U5" s="19" t="n"/>
      <c r="V5" s="19" t="n"/>
      <c r="W5" s="19" t="n"/>
      <c r="X5" s="19" t="n"/>
      <c r="Y5" s="19" t="n"/>
      <c r="Z5" s="19" t="n"/>
    </row>
    <row r="6">
      <c r="A6" s="4" t="n"/>
      <c r="B6" s="7">
        <f>row()-3</f>
        <v/>
      </c>
      <c r="C6" s="95" t="n"/>
      <c r="D6" s="21"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row>
    <row r="7">
      <c r="A7" s="4" t="n"/>
      <c r="B7" s="7">
        <f>row()-3</f>
        <v/>
      </c>
      <c r="C7" s="95" t="n"/>
      <c r="D7" s="21" t="n"/>
      <c r="E7" s="19" t="n"/>
      <c r="F7" s="19" t="n"/>
      <c r="G7" s="19" t="n"/>
      <c r="H7" s="19" t="n"/>
      <c r="I7" s="19" t="n"/>
      <c r="J7" s="19" t="n"/>
      <c r="K7" s="19" t="n"/>
      <c r="L7" s="19" t="n"/>
      <c r="M7" s="19" t="n"/>
      <c r="N7" s="19" t="n"/>
      <c r="O7" s="19" t="n"/>
      <c r="P7" s="19" t="n"/>
      <c r="Q7" s="19" t="n"/>
      <c r="R7" s="19" t="n"/>
      <c r="S7" s="19" t="n"/>
      <c r="T7" s="19" t="n"/>
      <c r="U7" s="19" t="n"/>
      <c r="V7" s="19" t="n"/>
      <c r="W7" s="19" t="n"/>
      <c r="X7" s="19" t="n"/>
      <c r="Y7" s="19" t="n"/>
      <c r="Z7" s="19" t="n"/>
    </row>
    <row r="8">
      <c r="A8" s="4" t="n"/>
      <c r="B8" s="7">
        <f>row()-3</f>
        <v/>
      </c>
      <c r="C8" s="95" t="n"/>
      <c r="D8" s="21" t="n"/>
      <c r="E8" s="19" t="n"/>
      <c r="F8" s="19" t="n"/>
      <c r="G8" s="19" t="n"/>
      <c r="H8" s="19" t="n"/>
      <c r="I8" s="19" t="n"/>
      <c r="J8" s="19" t="n"/>
      <c r="K8" s="19" t="n"/>
      <c r="L8" s="19" t="n"/>
      <c r="M8" s="19" t="n"/>
      <c r="N8" s="19" t="n"/>
      <c r="O8" s="19" t="n"/>
      <c r="P8" s="19" t="n"/>
      <c r="Q8" s="19" t="n"/>
      <c r="R8" s="19" t="n"/>
      <c r="S8" s="19" t="n"/>
      <c r="T8" s="19" t="n"/>
      <c r="U8" s="19" t="n"/>
      <c r="V8" s="19" t="n"/>
      <c r="W8" s="19" t="n"/>
      <c r="X8" s="19" t="n"/>
      <c r="Y8" s="19" t="n"/>
      <c r="Z8" s="19" t="n"/>
    </row>
    <row r="9">
      <c r="A9" s="4" t="n"/>
      <c r="B9" s="7">
        <f>row()-3</f>
        <v/>
      </c>
      <c r="C9" s="95" t="n"/>
      <c r="D9" s="21" t="n"/>
      <c r="E9" s="19" t="n"/>
      <c r="F9" s="19" t="n"/>
      <c r="G9" s="19" t="n"/>
      <c r="H9" s="19" t="n"/>
      <c r="I9" s="19" t="n"/>
      <c r="J9" s="19" t="n"/>
      <c r="K9" s="19" t="n"/>
      <c r="L9" s="19" t="n"/>
      <c r="M9" s="19" t="n"/>
      <c r="N9" s="19" t="n"/>
      <c r="O9" s="19" t="n"/>
      <c r="P9" s="19" t="n"/>
      <c r="Q9" s="19" t="n"/>
      <c r="R9" s="19" t="n"/>
      <c r="S9" s="19" t="n"/>
      <c r="T9" s="19" t="n"/>
      <c r="U9" s="19" t="n"/>
      <c r="V9" s="19" t="n"/>
      <c r="W9" s="19" t="n"/>
      <c r="X9" s="19" t="n"/>
      <c r="Y9" s="19" t="n"/>
      <c r="Z9" s="19" t="n"/>
    </row>
    <row r="10">
      <c r="A10" s="4" t="n"/>
      <c r="B10" s="7">
        <f>row()-3</f>
        <v/>
      </c>
      <c r="C10" s="95" t="n"/>
      <c r="D10" s="21" t="n"/>
      <c r="E10" s="19" t="n"/>
      <c r="F10" s="19" t="n"/>
      <c r="G10" s="19" t="n"/>
      <c r="H10" s="19" t="n"/>
      <c r="I10" s="19" t="n"/>
      <c r="J10" s="19" t="n"/>
      <c r="K10" s="19" t="n"/>
      <c r="L10" s="19" t="n"/>
      <c r="M10" s="19" t="n"/>
      <c r="N10" s="19" t="n"/>
      <c r="O10" s="19" t="n"/>
      <c r="P10" s="19" t="n"/>
      <c r="Q10" s="19" t="n"/>
      <c r="R10" s="19" t="n"/>
      <c r="S10" s="19" t="n"/>
      <c r="T10" s="19" t="n"/>
      <c r="U10" s="19" t="n"/>
      <c r="V10" s="19" t="n"/>
      <c r="W10" s="19" t="n"/>
      <c r="X10" s="19" t="n"/>
      <c r="Y10" s="19" t="n"/>
      <c r="Z10" s="19" t="n"/>
    </row>
    <row r="11">
      <c r="A11" s="4" t="n"/>
      <c r="B11" s="7">
        <f>row()-3</f>
        <v/>
      </c>
      <c r="C11" s="95" t="n"/>
      <c r="D11" s="21" t="n"/>
      <c r="E11" s="19" t="n"/>
      <c r="F11" s="19" t="n"/>
      <c r="G11" s="19" t="n"/>
      <c r="H11" s="19" t="n"/>
      <c r="I11" s="19" t="n"/>
      <c r="J11" s="19" t="n"/>
      <c r="K11" s="19" t="n"/>
      <c r="L11" s="19" t="n"/>
      <c r="M11" s="19" t="n"/>
      <c r="N11" s="19" t="n"/>
      <c r="O11" s="19" t="n"/>
      <c r="P11" s="19" t="n"/>
      <c r="Q11" s="19" t="n"/>
      <c r="R11" s="19" t="n"/>
      <c r="S11" s="19" t="n"/>
      <c r="T11" s="19" t="n"/>
      <c r="U11" s="19" t="n"/>
      <c r="V11" s="19" t="n"/>
      <c r="W11" s="19" t="n"/>
      <c r="X11" s="19" t="n"/>
      <c r="Y11" s="19" t="n"/>
      <c r="Z11" s="19" t="n"/>
    </row>
    <row r="12">
      <c r="A12" s="4" t="n"/>
      <c r="B12" s="7">
        <f>row()-3</f>
        <v/>
      </c>
      <c r="C12" s="95" t="n"/>
      <c r="D12" s="13" t="n"/>
      <c r="E12" s="19" t="n"/>
      <c r="F12" s="19" t="n"/>
      <c r="G12" s="19" t="n"/>
      <c r="H12" s="19" t="n"/>
      <c r="I12" s="19" t="n"/>
      <c r="J12" s="19" t="n"/>
      <c r="K12" s="19" t="n"/>
      <c r="L12" s="19" t="n"/>
      <c r="M12" s="19" t="n"/>
      <c r="N12" s="19" t="n"/>
      <c r="O12" s="19" t="n"/>
      <c r="P12" s="19" t="n"/>
      <c r="Q12" s="19" t="n"/>
      <c r="R12" s="19" t="n"/>
      <c r="S12" s="19" t="n"/>
      <c r="T12" s="19" t="n"/>
      <c r="U12" s="19" t="n"/>
      <c r="V12" s="19" t="n"/>
      <c r="W12" s="19" t="n"/>
      <c r="X12" s="19" t="n"/>
      <c r="Y12" s="19" t="n"/>
      <c r="Z12" s="19" t="n"/>
    </row>
    <row r="13">
      <c r="A13" s="4" t="n"/>
      <c r="B13" s="7">
        <f>row()-3</f>
        <v/>
      </c>
      <c r="C13" s="95" t="n"/>
      <c r="D13" s="13" t="n"/>
      <c r="E13" s="19" t="n"/>
      <c r="F13" s="19" t="n"/>
      <c r="G13" s="19" t="n"/>
      <c r="H13" s="19" t="n"/>
      <c r="I13" s="19" t="n"/>
      <c r="J13" s="19" t="n"/>
      <c r="K13" s="19" t="n"/>
      <c r="L13" s="19" t="n"/>
      <c r="M13" s="19" t="n"/>
      <c r="N13" s="19" t="n"/>
      <c r="O13" s="19" t="n"/>
      <c r="P13" s="19" t="n"/>
      <c r="Q13" s="19" t="n"/>
      <c r="R13" s="19" t="n"/>
      <c r="S13" s="19" t="n"/>
      <c r="T13" s="19" t="n"/>
      <c r="U13" s="19" t="n"/>
      <c r="V13" s="19" t="n"/>
      <c r="W13" s="19" t="n"/>
      <c r="X13" s="19" t="n"/>
      <c r="Y13" s="19" t="n"/>
      <c r="Z13" s="19" t="n"/>
    </row>
    <row r="14">
      <c r="A14" s="4" t="n"/>
      <c r="B14" s="7">
        <f>row()-3</f>
        <v/>
      </c>
      <c r="C14" s="95" t="n"/>
      <c r="D14" s="13" t="n"/>
      <c r="E14" s="19" t="n"/>
      <c r="F14" s="19" t="n"/>
      <c r="G14" s="19" t="n"/>
      <c r="H14" s="19" t="n"/>
      <c r="I14" s="19" t="n"/>
      <c r="J14" s="19" t="n"/>
      <c r="K14" s="19" t="n"/>
      <c r="L14" s="19" t="n"/>
      <c r="M14" s="19" t="n"/>
      <c r="N14" s="19" t="n"/>
      <c r="O14" s="19" t="n"/>
      <c r="P14" s="19" t="n"/>
      <c r="Q14" s="19" t="n"/>
      <c r="R14" s="19" t="n"/>
      <c r="S14" s="19" t="n"/>
      <c r="T14" s="19" t="n"/>
      <c r="U14" s="19" t="n"/>
      <c r="V14" s="19" t="n"/>
      <c r="W14" s="19" t="n"/>
      <c r="X14" s="19" t="n"/>
      <c r="Y14" s="19" t="n"/>
      <c r="Z14" s="19" t="n"/>
    </row>
    <row r="15">
      <c r="A15" s="4" t="n"/>
      <c r="B15" s="7">
        <f>row()-3</f>
        <v/>
      </c>
      <c r="C15" s="95" t="n"/>
      <c r="D15" s="13" t="n"/>
      <c r="E15" s="19" t="n"/>
      <c r="F15" s="19" t="n"/>
      <c r="G15" s="19" t="n"/>
      <c r="H15" s="19" t="n"/>
      <c r="I15" s="19" t="n"/>
      <c r="J15" s="19" t="n"/>
      <c r="K15" s="19" t="n"/>
      <c r="L15" s="19" t="n"/>
      <c r="M15" s="19" t="n"/>
      <c r="N15" s="19" t="n"/>
      <c r="O15" s="19" t="n"/>
      <c r="P15" s="19" t="n"/>
      <c r="Q15" s="19" t="n"/>
      <c r="R15" s="19" t="n"/>
      <c r="S15" s="19" t="n"/>
      <c r="T15" s="19" t="n"/>
      <c r="U15" s="19" t="n"/>
      <c r="V15" s="19" t="n"/>
      <c r="W15" s="19" t="n"/>
      <c r="X15" s="19" t="n"/>
      <c r="Y15" s="19" t="n"/>
      <c r="Z15" s="19" t="n"/>
    </row>
    <row r="16">
      <c r="A16" s="4" t="n"/>
      <c r="B16" s="7">
        <f>row()-3</f>
        <v/>
      </c>
      <c r="C16" s="95" t="n"/>
      <c r="D16" s="13" t="n"/>
      <c r="E16" s="19" t="n"/>
      <c r="F16" s="19" t="n"/>
      <c r="G16" s="19" t="n"/>
      <c r="H16" s="19" t="n"/>
      <c r="I16" s="19" t="n"/>
      <c r="J16" s="19" t="n"/>
      <c r="K16" s="19" t="n"/>
      <c r="L16" s="19" t="n"/>
      <c r="M16" s="19" t="n"/>
      <c r="N16" s="19" t="n"/>
      <c r="O16" s="19" t="n"/>
      <c r="P16" s="19" t="n"/>
      <c r="Q16" s="19" t="n"/>
      <c r="R16" s="19" t="n"/>
      <c r="S16" s="19" t="n"/>
      <c r="T16" s="19" t="n"/>
      <c r="U16" s="19" t="n"/>
      <c r="V16" s="19" t="n"/>
      <c r="W16" s="19" t="n"/>
      <c r="X16" s="19" t="n"/>
      <c r="Y16" s="19" t="n"/>
      <c r="Z16" s="19" t="n"/>
    </row>
    <row r="17">
      <c r="A17" s="4" t="n"/>
      <c r="B17" s="7">
        <f>row()-3</f>
        <v/>
      </c>
      <c r="C17" s="95" t="n"/>
      <c r="D17" s="13" t="n"/>
      <c r="E17" s="19" t="n"/>
      <c r="F17" s="19" t="n"/>
      <c r="G17" s="19" t="n"/>
      <c r="H17" s="19" t="n"/>
      <c r="I17" s="19" t="n"/>
      <c r="J17" s="19" t="n"/>
      <c r="K17" s="19" t="n"/>
      <c r="L17" s="19" t="n"/>
      <c r="M17" s="19" t="n"/>
      <c r="N17" s="19" t="n"/>
      <c r="O17" s="19" t="n"/>
      <c r="P17" s="19" t="n"/>
      <c r="Q17" s="19" t="n"/>
      <c r="R17" s="19" t="n"/>
      <c r="S17" s="19" t="n"/>
      <c r="T17" s="19" t="n"/>
      <c r="U17" s="19" t="n"/>
      <c r="V17" s="19" t="n"/>
      <c r="W17" s="19" t="n"/>
      <c r="X17" s="19" t="n"/>
      <c r="Y17" s="19" t="n"/>
      <c r="Z17" s="19" t="n"/>
    </row>
    <row r="18">
      <c r="A18" s="4" t="n"/>
      <c r="B18" s="7">
        <f>row()-3</f>
        <v/>
      </c>
      <c r="C18" s="95" t="n"/>
      <c r="D18" s="13" t="n"/>
      <c r="E18" s="19" t="n"/>
      <c r="F18" s="19" t="n"/>
      <c r="G18" s="19" t="n"/>
      <c r="H18" s="19" t="n"/>
      <c r="I18" s="19" t="n"/>
      <c r="J18" s="19" t="n"/>
      <c r="K18" s="19" t="n"/>
      <c r="L18" s="19" t="n"/>
      <c r="M18" s="19" t="n"/>
      <c r="N18" s="19" t="n"/>
      <c r="O18" s="19" t="n"/>
      <c r="P18" s="19" t="n"/>
      <c r="Q18" s="19" t="n"/>
      <c r="R18" s="19" t="n"/>
      <c r="S18" s="19" t="n"/>
      <c r="T18" s="19" t="n"/>
      <c r="U18" s="19" t="n"/>
      <c r="V18" s="19" t="n"/>
      <c r="W18" s="19" t="n"/>
      <c r="X18" s="19" t="n"/>
      <c r="Y18" s="19" t="n"/>
      <c r="Z18" s="19" t="n"/>
    </row>
    <row r="19">
      <c r="A19" s="4" t="n"/>
      <c r="B19" s="7">
        <f>row()-3</f>
        <v/>
      </c>
      <c r="C19" s="95" t="n"/>
      <c r="D19" s="13" t="n"/>
      <c r="E19" s="19" t="n"/>
      <c r="F19" s="19" t="n"/>
      <c r="G19" s="19" t="n"/>
      <c r="H19" s="19" t="n"/>
      <c r="I19" s="19" t="n"/>
      <c r="J19" s="19" t="n"/>
      <c r="K19" s="19" t="n"/>
      <c r="L19" s="19" t="n"/>
      <c r="M19" s="19" t="n"/>
      <c r="N19" s="19" t="n"/>
      <c r="O19" s="19" t="n"/>
      <c r="P19" s="19" t="n"/>
      <c r="Q19" s="19" t="n"/>
      <c r="R19" s="19" t="n"/>
      <c r="S19" s="19" t="n"/>
      <c r="T19" s="19" t="n"/>
      <c r="U19" s="19" t="n"/>
      <c r="V19" s="19" t="n"/>
      <c r="W19" s="19" t="n"/>
      <c r="X19" s="19" t="n"/>
      <c r="Y19" s="19" t="n"/>
      <c r="Z19" s="19" t="n"/>
    </row>
    <row r="20">
      <c r="A20" s="4" t="n"/>
      <c r="B20" s="7">
        <f>row()-3</f>
        <v/>
      </c>
      <c r="C20" s="95" t="n"/>
      <c r="D20" s="13" t="n"/>
      <c r="E20" s="19" t="n"/>
      <c r="F20" s="19" t="n"/>
      <c r="G20" s="19" t="n"/>
      <c r="H20" s="19" t="n"/>
      <c r="I20" s="19" t="n"/>
      <c r="J20" s="19" t="n"/>
      <c r="K20" s="19" t="n"/>
      <c r="L20" s="19" t="n"/>
      <c r="M20" s="19" t="n"/>
      <c r="N20" s="19" t="n"/>
      <c r="O20" s="19" t="n"/>
      <c r="P20" s="19" t="n"/>
      <c r="Q20" s="19" t="n"/>
      <c r="R20" s="19" t="n"/>
      <c r="S20" s="19" t="n"/>
      <c r="T20" s="19" t="n"/>
      <c r="U20" s="19" t="n"/>
      <c r="V20" s="19" t="n"/>
      <c r="W20" s="19" t="n"/>
      <c r="X20" s="19" t="n"/>
      <c r="Y20" s="19" t="n"/>
      <c r="Z20" s="19" t="n"/>
    </row>
    <row r="21">
      <c r="A21" s="4" t="n"/>
      <c r="B21" s="7">
        <f>row()-3</f>
        <v/>
      </c>
      <c r="C21" s="95" t="n"/>
      <c r="D21" s="13" t="n"/>
      <c r="E21" s="19" t="n"/>
      <c r="F21" s="19" t="n"/>
      <c r="G21" s="19" t="n"/>
      <c r="H21" s="19" t="n"/>
      <c r="I21" s="19" t="n"/>
      <c r="J21" s="19" t="n"/>
      <c r="K21" s="19" t="n"/>
      <c r="L21" s="19" t="n"/>
      <c r="M21" s="19" t="n"/>
      <c r="N21" s="19" t="n"/>
      <c r="O21" s="19" t="n"/>
      <c r="P21" s="19" t="n"/>
      <c r="Q21" s="19" t="n"/>
      <c r="R21" s="19" t="n"/>
      <c r="S21" s="19" t="n"/>
      <c r="T21" s="19" t="n"/>
      <c r="U21" s="19" t="n"/>
      <c r="V21" s="19" t="n"/>
      <c r="W21" s="19" t="n"/>
      <c r="X21" s="19" t="n"/>
      <c r="Y21" s="19" t="n"/>
      <c r="Z21" s="19" t="n"/>
    </row>
    <row r="22">
      <c r="A22" s="4" t="n"/>
      <c r="B22" s="7">
        <f>row()-3</f>
        <v/>
      </c>
      <c r="C22" s="95" t="n"/>
      <c r="D22" s="13" t="n"/>
      <c r="E22" s="19" t="n"/>
      <c r="F22" s="19" t="n"/>
      <c r="G22" s="19" t="n"/>
      <c r="H22" s="19" t="n"/>
      <c r="I22" s="19" t="n"/>
      <c r="J22" s="19" t="n"/>
      <c r="K22" s="19" t="n"/>
      <c r="L22" s="19" t="n"/>
      <c r="M22" s="19" t="n"/>
      <c r="N22" s="19" t="n"/>
      <c r="O22" s="19" t="n"/>
      <c r="P22" s="19" t="n"/>
      <c r="Q22" s="19" t="n"/>
      <c r="R22" s="19" t="n"/>
      <c r="S22" s="19" t="n"/>
      <c r="T22" s="19" t="n"/>
      <c r="U22" s="19" t="n"/>
      <c r="V22" s="19" t="n"/>
      <c r="W22" s="19" t="n"/>
      <c r="X22" s="19" t="n"/>
      <c r="Y22" s="19" t="n"/>
      <c r="Z22" s="19" t="n"/>
    </row>
    <row r="23">
      <c r="A23" s="4" t="n"/>
      <c r="B23" s="7">
        <f>row()-3</f>
        <v/>
      </c>
      <c r="C23" s="95" t="n"/>
      <c r="D23" s="13" t="n"/>
      <c r="E23" s="19" t="n"/>
      <c r="F23" s="19" t="n"/>
      <c r="G23" s="19" t="n"/>
      <c r="H23" s="19" t="n"/>
      <c r="I23" s="19" t="n"/>
      <c r="J23" s="19" t="n"/>
      <c r="K23" s="19" t="n"/>
      <c r="L23" s="19" t="n"/>
      <c r="M23" s="19" t="n"/>
      <c r="N23" s="19" t="n"/>
      <c r="O23" s="19" t="n"/>
      <c r="P23" s="19" t="n"/>
      <c r="Q23" s="19" t="n"/>
      <c r="R23" s="19" t="n"/>
      <c r="S23" s="19" t="n"/>
      <c r="T23" s="19" t="n"/>
      <c r="U23" s="19" t="n"/>
      <c r="V23" s="19" t="n"/>
      <c r="W23" s="19" t="n"/>
      <c r="X23" s="19" t="n"/>
      <c r="Y23" s="19" t="n"/>
      <c r="Z23" s="19" t="n"/>
    </row>
    <row r="24">
      <c r="A24" s="4" t="n"/>
      <c r="B24" s="7">
        <f>row()-3</f>
        <v/>
      </c>
      <c r="C24" s="95" t="n"/>
      <c r="D24" s="13" t="n"/>
      <c r="E24" s="19" t="n"/>
      <c r="F24" s="19" t="n"/>
      <c r="G24" s="19" t="n"/>
      <c r="H24" s="19" t="n"/>
      <c r="I24" s="19" t="n"/>
      <c r="J24" s="19" t="n"/>
      <c r="K24" s="19" t="n"/>
      <c r="L24" s="19" t="n"/>
      <c r="M24" s="19" t="n"/>
      <c r="N24" s="19" t="n"/>
      <c r="O24" s="19" t="n"/>
      <c r="P24" s="19" t="n"/>
      <c r="Q24" s="19" t="n"/>
      <c r="R24" s="19" t="n"/>
      <c r="S24" s="19" t="n"/>
      <c r="T24" s="19" t="n"/>
      <c r="U24" s="19" t="n"/>
      <c r="V24" s="19" t="n"/>
      <c r="W24" s="19" t="n"/>
      <c r="X24" s="19" t="n"/>
      <c r="Y24" s="19" t="n"/>
      <c r="Z24" s="19" t="n"/>
    </row>
    <row r="25">
      <c r="A25" s="4" t="n"/>
      <c r="B25" s="7">
        <f>row()-3</f>
        <v/>
      </c>
      <c r="C25" s="95" t="n"/>
      <c r="D25" s="13" t="n"/>
      <c r="E25" s="19" t="n"/>
      <c r="F25" s="19" t="n"/>
      <c r="G25" s="19" t="n"/>
      <c r="H25" s="19" t="n"/>
      <c r="I25" s="19" t="n"/>
      <c r="J25" s="19" t="n"/>
      <c r="K25" s="19" t="n"/>
      <c r="L25" s="19" t="n"/>
      <c r="M25" s="19" t="n"/>
      <c r="N25" s="19" t="n"/>
      <c r="O25" s="19" t="n"/>
      <c r="P25" s="19" t="n"/>
      <c r="Q25" s="19" t="n"/>
      <c r="R25" s="19" t="n"/>
      <c r="S25" s="19" t="n"/>
      <c r="T25" s="19" t="n"/>
      <c r="U25" s="19" t="n"/>
      <c r="V25" s="19" t="n"/>
      <c r="W25" s="19" t="n"/>
      <c r="X25" s="19" t="n"/>
      <c r="Y25" s="19" t="n"/>
      <c r="Z25" s="19" t="n"/>
    </row>
    <row r="26">
      <c r="A26" s="4" t="n"/>
      <c r="B26" s="14">
        <f>row()-3</f>
        <v/>
      </c>
      <c r="C26" s="96" t="n"/>
      <c r="D26" s="16" t="n"/>
      <c r="E26" s="19" t="n"/>
      <c r="F26" s="19" t="n"/>
      <c r="G26" s="19" t="n"/>
      <c r="H26" s="19" t="n"/>
      <c r="I26" s="19" t="n"/>
      <c r="J26" s="19" t="n"/>
      <c r="K26" s="19" t="n"/>
      <c r="L26" s="19" t="n"/>
      <c r="M26" s="19" t="n"/>
      <c r="N26" s="19" t="n"/>
      <c r="O26" s="19" t="n"/>
      <c r="P26" s="19" t="n"/>
      <c r="Q26" s="19" t="n"/>
      <c r="R26" s="19" t="n"/>
      <c r="S26" s="19" t="n"/>
      <c r="T26" s="19" t="n"/>
      <c r="U26" s="19" t="n"/>
      <c r="V26" s="19" t="n"/>
      <c r="W26" s="19" t="n"/>
      <c r="X26" s="19" t="n"/>
      <c r="Y26" s="19" t="n"/>
      <c r="Z26" s="19" t="n"/>
    </row>
    <row r="27">
      <c r="A27" s="4" t="n"/>
      <c r="B27" s="17">
        <f>row()-3</f>
        <v/>
      </c>
      <c r="C27" s="94" t="n"/>
      <c r="D27" s="18" t="n"/>
      <c r="E27" s="19" t="n"/>
      <c r="F27" s="19" t="n"/>
      <c r="G27" s="19" t="n"/>
      <c r="H27" s="19" t="n"/>
      <c r="I27" s="19" t="n"/>
      <c r="J27" s="19" t="n"/>
      <c r="K27" s="19" t="n"/>
      <c r="L27" s="19" t="n"/>
      <c r="M27" s="19" t="n"/>
      <c r="N27" s="19" t="n"/>
      <c r="O27" s="19" t="n"/>
      <c r="P27" s="19" t="n"/>
      <c r="Q27" s="19" t="n"/>
      <c r="R27" s="19" t="n"/>
      <c r="S27" s="19" t="n"/>
      <c r="T27" s="19" t="n"/>
      <c r="U27" s="19" t="n"/>
      <c r="V27" s="19" t="n"/>
      <c r="W27" s="19" t="n"/>
      <c r="X27" s="19" t="n"/>
      <c r="Y27" s="19" t="n"/>
      <c r="Z27" s="19" t="n"/>
    </row>
    <row r="28">
      <c r="A28" s="4" t="n"/>
      <c r="B28" s="7">
        <f>row()-3</f>
        <v/>
      </c>
      <c r="C28" s="95" t="n"/>
      <c r="D28" s="13" t="n"/>
      <c r="E28" s="20" t="n"/>
      <c r="F28" s="19" t="n"/>
      <c r="G28" s="19" t="n"/>
      <c r="H28" s="19" t="n"/>
      <c r="I28" s="19" t="n"/>
      <c r="J28" s="19" t="n"/>
      <c r="K28" s="19" t="n"/>
      <c r="L28" s="19" t="n"/>
      <c r="M28" s="19" t="n"/>
      <c r="N28" s="19" t="n"/>
      <c r="O28" s="19" t="n"/>
      <c r="P28" s="19" t="n"/>
      <c r="Q28" s="19" t="n"/>
      <c r="R28" s="19" t="n"/>
      <c r="S28" s="19" t="n"/>
      <c r="T28" s="19" t="n"/>
      <c r="U28" s="19" t="n"/>
      <c r="V28" s="19" t="n"/>
      <c r="W28" s="19" t="n"/>
      <c r="X28" s="19" t="n"/>
      <c r="Y28" s="19" t="n"/>
      <c r="Z28" s="19" t="n"/>
    </row>
    <row r="29">
      <c r="A29" s="4" t="n"/>
      <c r="B29" s="7">
        <f>row()-3</f>
        <v/>
      </c>
      <c r="C29" s="95" t="n"/>
      <c r="D29" s="13" t="n"/>
      <c r="E29" s="19" t="n"/>
      <c r="F29" s="19" t="n"/>
      <c r="G29" s="19" t="n"/>
      <c r="H29" s="19" t="n"/>
      <c r="I29" s="19" t="n"/>
      <c r="J29" s="19" t="n"/>
      <c r="K29" s="19" t="n"/>
      <c r="L29" s="19" t="n"/>
      <c r="M29" s="19" t="n"/>
      <c r="N29" s="19" t="n"/>
      <c r="O29" s="19" t="n"/>
      <c r="P29" s="19" t="n"/>
      <c r="Q29" s="19" t="n"/>
      <c r="R29" s="19" t="n"/>
      <c r="S29" s="19" t="n"/>
      <c r="T29" s="19" t="n"/>
      <c r="U29" s="19" t="n"/>
      <c r="V29" s="19" t="n"/>
      <c r="W29" s="19" t="n"/>
      <c r="X29" s="19" t="n"/>
      <c r="Y29" s="19" t="n"/>
      <c r="Z29" s="19" t="n"/>
    </row>
    <row r="30">
      <c r="A30" s="4" t="n"/>
      <c r="B30" s="7">
        <f>row()-3</f>
        <v/>
      </c>
      <c r="C30" s="95" t="n"/>
      <c r="D30" s="13" t="n"/>
      <c r="E30" s="19" t="n"/>
      <c r="F30" s="19" t="n"/>
      <c r="G30" s="19" t="n"/>
      <c r="H30" s="19" t="n"/>
      <c r="I30" s="19" t="n"/>
      <c r="J30" s="19" t="n"/>
      <c r="K30" s="19" t="n"/>
      <c r="L30" s="19" t="n"/>
      <c r="M30" s="19" t="n"/>
      <c r="N30" s="19" t="n"/>
      <c r="O30" s="19" t="n"/>
      <c r="P30" s="19" t="n"/>
      <c r="Q30" s="19" t="n"/>
      <c r="R30" s="19" t="n"/>
      <c r="S30" s="19" t="n"/>
      <c r="T30" s="19" t="n"/>
      <c r="U30" s="19" t="n"/>
      <c r="V30" s="19" t="n"/>
      <c r="W30" s="19" t="n"/>
      <c r="X30" s="19" t="n"/>
      <c r="Y30" s="19" t="n"/>
      <c r="Z30" s="19" t="n"/>
    </row>
    <row r="31">
      <c r="A31" s="4" t="n"/>
      <c r="B31" s="7">
        <f>row()-3</f>
        <v/>
      </c>
      <c r="C31" s="95" t="n"/>
      <c r="D31" s="13" t="n"/>
      <c r="E31" s="19" t="n"/>
      <c r="F31" s="19" t="n"/>
      <c r="G31" s="19" t="n"/>
      <c r="H31" s="19" t="n"/>
      <c r="I31" s="19" t="n"/>
      <c r="J31" s="19" t="n"/>
      <c r="K31" s="19" t="n"/>
      <c r="L31" s="19" t="n"/>
      <c r="M31" s="19" t="n"/>
      <c r="N31" s="19" t="n"/>
      <c r="O31" s="19" t="n"/>
      <c r="P31" s="19" t="n"/>
      <c r="Q31" s="19" t="n"/>
      <c r="R31" s="19" t="n"/>
      <c r="S31" s="19" t="n"/>
      <c r="T31" s="19" t="n"/>
      <c r="U31" s="19" t="n"/>
      <c r="V31" s="19" t="n"/>
      <c r="W31" s="19" t="n"/>
      <c r="X31" s="19" t="n"/>
      <c r="Y31" s="19" t="n"/>
      <c r="Z31" s="19" t="n"/>
    </row>
    <row r="32">
      <c r="A32" s="4" t="n"/>
      <c r="B32" s="7">
        <f>row()-3</f>
        <v/>
      </c>
      <c r="C32" s="95" t="n"/>
      <c r="D32" s="13" t="n"/>
      <c r="E32" s="19" t="n"/>
      <c r="F32" s="19" t="n"/>
      <c r="G32" s="19" t="n"/>
      <c r="H32" s="19" t="n"/>
      <c r="I32" s="19" t="n"/>
      <c r="J32" s="19" t="n"/>
      <c r="K32" s="19" t="n"/>
      <c r="L32" s="19" t="n"/>
      <c r="M32" s="19" t="n"/>
      <c r="N32" s="19" t="n"/>
      <c r="O32" s="19" t="n"/>
      <c r="P32" s="19" t="n"/>
      <c r="Q32" s="19" t="n"/>
      <c r="R32" s="19" t="n"/>
      <c r="S32" s="19" t="n"/>
      <c r="T32" s="19" t="n"/>
      <c r="U32" s="19" t="n"/>
      <c r="V32" s="19" t="n"/>
      <c r="W32" s="19" t="n"/>
      <c r="X32" s="19" t="n"/>
      <c r="Y32" s="19" t="n"/>
      <c r="Z32" s="19" t="n"/>
    </row>
    <row r="33">
      <c r="A33" s="4" t="n"/>
      <c r="B33" s="7">
        <f>row()-3</f>
        <v/>
      </c>
      <c r="C33" s="95" t="n"/>
      <c r="D33" s="13" t="n"/>
      <c r="E33" s="19" t="n"/>
      <c r="F33" s="19" t="n"/>
      <c r="G33" s="19" t="n"/>
      <c r="H33" s="19" t="n"/>
      <c r="I33" s="19" t="n"/>
      <c r="J33" s="19" t="n"/>
      <c r="K33" s="19" t="n"/>
      <c r="L33" s="19" t="n"/>
      <c r="M33" s="19" t="n"/>
      <c r="N33" s="19" t="n"/>
      <c r="O33" s="19" t="n"/>
      <c r="P33" s="19" t="n"/>
      <c r="Q33" s="19" t="n"/>
      <c r="R33" s="19" t="n"/>
      <c r="S33" s="19" t="n"/>
      <c r="T33" s="19" t="n"/>
      <c r="U33" s="19" t="n"/>
      <c r="V33" s="19" t="n"/>
      <c r="W33" s="19" t="n"/>
      <c r="X33" s="19" t="n"/>
      <c r="Y33" s="19" t="n"/>
      <c r="Z33" s="19" t="n"/>
    </row>
    <row r="34">
      <c r="A34" s="4" t="n"/>
      <c r="B34" s="7">
        <f>row()-3</f>
        <v/>
      </c>
      <c r="C34" s="95" t="n"/>
      <c r="D34" s="13" t="n"/>
      <c r="E34" s="19" t="n"/>
      <c r="F34" s="19" t="n"/>
      <c r="G34" s="19" t="n"/>
      <c r="H34" s="19" t="n"/>
      <c r="I34" s="19" t="n"/>
      <c r="J34" s="19" t="n"/>
      <c r="K34" s="19" t="n"/>
      <c r="L34" s="19" t="n"/>
      <c r="M34" s="19" t="n"/>
      <c r="N34" s="19" t="n"/>
      <c r="O34" s="19" t="n"/>
      <c r="P34" s="19" t="n"/>
      <c r="Q34" s="19" t="n"/>
      <c r="R34" s="19" t="n"/>
      <c r="S34" s="19" t="n"/>
      <c r="T34" s="19" t="n"/>
      <c r="U34" s="19" t="n"/>
      <c r="V34" s="19" t="n"/>
      <c r="W34" s="19" t="n"/>
      <c r="X34" s="19" t="n"/>
      <c r="Y34" s="19" t="n"/>
      <c r="Z34" s="19" t="n"/>
    </row>
    <row r="35">
      <c r="A35" s="4" t="n"/>
      <c r="B35" s="7">
        <f>row()-3</f>
        <v/>
      </c>
      <c r="C35" s="95" t="n"/>
      <c r="D35" s="13" t="n"/>
      <c r="E35" s="19" t="n"/>
      <c r="F35" s="19" t="n"/>
      <c r="G35" s="19" t="n"/>
      <c r="H35" s="19" t="n"/>
      <c r="I35" s="19" t="n"/>
      <c r="J35" s="19" t="n"/>
      <c r="K35" s="19" t="n"/>
      <c r="L35" s="19" t="n"/>
      <c r="M35" s="19" t="n"/>
      <c r="N35" s="19" t="n"/>
      <c r="O35" s="19" t="n"/>
      <c r="P35" s="19" t="n"/>
      <c r="Q35" s="19" t="n"/>
      <c r="R35" s="19" t="n"/>
      <c r="S35" s="19" t="n"/>
      <c r="T35" s="19" t="n"/>
      <c r="U35" s="19" t="n"/>
      <c r="V35" s="19" t="n"/>
      <c r="W35" s="19" t="n"/>
      <c r="X35" s="19" t="n"/>
      <c r="Y35" s="19" t="n"/>
      <c r="Z35" s="19" t="n"/>
    </row>
    <row r="36">
      <c r="A36" s="4" t="n"/>
      <c r="B36" s="7">
        <f>row()-3</f>
        <v/>
      </c>
      <c r="C36" s="95" t="n"/>
      <c r="D36" s="13" t="n"/>
      <c r="E36" s="19" t="n"/>
      <c r="F36" s="19" t="n"/>
      <c r="G36" s="19" t="n"/>
      <c r="H36" s="19" t="n"/>
      <c r="I36" s="19" t="n"/>
      <c r="J36" s="19" t="n"/>
      <c r="K36" s="19" t="n"/>
      <c r="L36" s="19" t="n"/>
      <c r="M36" s="19" t="n"/>
      <c r="N36" s="19" t="n"/>
      <c r="O36" s="19" t="n"/>
      <c r="P36" s="19" t="n"/>
      <c r="Q36" s="19" t="n"/>
      <c r="R36" s="19" t="n"/>
      <c r="S36" s="19" t="n"/>
      <c r="T36" s="19" t="n"/>
      <c r="U36" s="19" t="n"/>
      <c r="V36" s="19" t="n"/>
      <c r="W36" s="19" t="n"/>
      <c r="X36" s="19" t="n"/>
      <c r="Y36" s="19" t="n"/>
      <c r="Z36" s="19" t="n"/>
    </row>
    <row r="37">
      <c r="A37" s="4" t="n"/>
      <c r="B37" s="7">
        <f>row()-3</f>
        <v/>
      </c>
      <c r="C37" s="95" t="n"/>
      <c r="D37" s="21" t="n"/>
      <c r="E37" s="19" t="n"/>
      <c r="F37" s="19" t="n"/>
      <c r="G37" s="19" t="n"/>
      <c r="H37" s="19" t="n"/>
      <c r="I37" s="19" t="n"/>
      <c r="J37" s="19" t="n"/>
      <c r="K37" s="19" t="n"/>
      <c r="L37" s="19" t="n"/>
      <c r="M37" s="19" t="n"/>
      <c r="N37" s="19" t="n"/>
      <c r="O37" s="19" t="n"/>
      <c r="P37" s="19" t="n"/>
      <c r="Q37" s="19" t="n"/>
      <c r="R37" s="19" t="n"/>
      <c r="S37" s="19" t="n"/>
      <c r="T37" s="19" t="n"/>
      <c r="U37" s="19" t="n"/>
      <c r="V37" s="19" t="n"/>
      <c r="W37" s="19" t="n"/>
      <c r="X37" s="19" t="n"/>
      <c r="Y37" s="19" t="n"/>
      <c r="Z37" s="19" t="n"/>
    </row>
    <row r="38">
      <c r="A38" s="4" t="n"/>
      <c r="B38" s="7">
        <f>row()-3</f>
        <v/>
      </c>
      <c r="C38" s="95" t="n"/>
      <c r="D38" s="21" t="n"/>
      <c r="E38" s="19" t="n"/>
      <c r="F38" s="19" t="n"/>
      <c r="G38" s="19" t="n"/>
      <c r="H38" s="19" t="n"/>
      <c r="I38" s="19" t="n"/>
      <c r="J38" s="19" t="n"/>
      <c r="K38" s="19" t="n"/>
      <c r="L38" s="19" t="n"/>
      <c r="M38" s="19" t="n"/>
      <c r="N38" s="19" t="n"/>
      <c r="O38" s="19" t="n"/>
      <c r="P38" s="19" t="n"/>
      <c r="Q38" s="19" t="n"/>
      <c r="R38" s="19" t="n"/>
      <c r="S38" s="19" t="n"/>
      <c r="T38" s="19" t="n"/>
      <c r="U38" s="19" t="n"/>
      <c r="V38" s="19" t="n"/>
      <c r="W38" s="19" t="n"/>
      <c r="X38" s="19" t="n"/>
      <c r="Y38" s="19" t="n"/>
      <c r="Z38" s="19" t="n"/>
    </row>
    <row r="39">
      <c r="A39" s="4" t="n"/>
      <c r="B39" s="7">
        <f>row()-3</f>
        <v/>
      </c>
      <c r="C39" s="95" t="n"/>
      <c r="D39" s="21" t="n"/>
      <c r="E39" s="19" t="n"/>
      <c r="F39" s="19" t="n"/>
      <c r="G39" s="19" t="n"/>
      <c r="H39" s="19" t="n"/>
      <c r="I39" s="19" t="n"/>
      <c r="J39" s="19" t="n"/>
      <c r="K39" s="19" t="n"/>
      <c r="L39" s="19" t="n"/>
      <c r="M39" s="19" t="n"/>
      <c r="N39" s="19" t="n"/>
      <c r="O39" s="19" t="n"/>
      <c r="P39" s="19" t="n"/>
      <c r="Q39" s="19" t="n"/>
      <c r="R39" s="19" t="n"/>
      <c r="S39" s="19" t="n"/>
      <c r="T39" s="19" t="n"/>
      <c r="U39" s="19" t="n"/>
      <c r="V39" s="19" t="n"/>
      <c r="W39" s="19" t="n"/>
      <c r="X39" s="19" t="n"/>
      <c r="Y39" s="19" t="n"/>
      <c r="Z39" s="19" t="n"/>
    </row>
    <row r="40">
      <c r="A40" s="4" t="n"/>
      <c r="B40" s="7">
        <f>row()-3</f>
        <v/>
      </c>
      <c r="C40" s="95" t="n"/>
      <c r="D40" s="21" t="n"/>
      <c r="E40" s="19" t="n"/>
      <c r="F40" s="19" t="n"/>
      <c r="G40" s="19" t="n"/>
      <c r="H40" s="19" t="n"/>
      <c r="I40" s="19" t="n"/>
      <c r="J40" s="19" t="n"/>
      <c r="K40" s="19" t="n"/>
      <c r="L40" s="19" t="n"/>
      <c r="M40" s="19" t="n"/>
      <c r="N40" s="19" t="n"/>
      <c r="O40" s="19" t="n"/>
      <c r="P40" s="19" t="n"/>
      <c r="Q40" s="19" t="n"/>
      <c r="R40" s="19" t="n"/>
      <c r="S40" s="19" t="n"/>
      <c r="T40" s="19" t="n"/>
      <c r="U40" s="19" t="n"/>
      <c r="V40" s="19" t="n"/>
      <c r="W40" s="19" t="n"/>
      <c r="X40" s="19" t="n"/>
      <c r="Y40" s="19" t="n"/>
      <c r="Z40" s="19" t="n"/>
    </row>
    <row r="41">
      <c r="A41" s="4" t="n"/>
      <c r="B41" s="7">
        <f>row()-3</f>
        <v/>
      </c>
      <c r="C41" s="95" t="n"/>
      <c r="D41" s="21" t="n"/>
      <c r="E41" s="19" t="n"/>
      <c r="F41" s="19" t="n"/>
      <c r="G41" s="19" t="n"/>
      <c r="H41" s="19" t="n"/>
      <c r="I41" s="19" t="n"/>
      <c r="J41" s="19" t="n"/>
      <c r="K41" s="19" t="n"/>
      <c r="L41" s="19" t="n"/>
      <c r="M41" s="19" t="n"/>
      <c r="N41" s="19" t="n"/>
      <c r="O41" s="19" t="n"/>
      <c r="P41" s="19" t="n"/>
      <c r="Q41" s="19" t="n"/>
      <c r="R41" s="19" t="n"/>
      <c r="S41" s="19" t="n"/>
      <c r="T41" s="19" t="n"/>
      <c r="U41" s="19" t="n"/>
      <c r="V41" s="19" t="n"/>
      <c r="W41" s="19" t="n"/>
      <c r="X41" s="19" t="n"/>
      <c r="Y41" s="19" t="n"/>
      <c r="Z41" s="19" t="n"/>
    </row>
    <row r="42">
      <c r="A42" s="4" t="n"/>
      <c r="B42" s="7">
        <f>row()-3</f>
        <v/>
      </c>
      <c r="C42" s="95" t="n"/>
      <c r="D42" s="21" t="n"/>
      <c r="E42" s="19" t="n"/>
      <c r="F42" s="19" t="n"/>
      <c r="G42" s="19" t="n"/>
      <c r="H42" s="19" t="n"/>
      <c r="I42" s="19" t="n"/>
      <c r="J42" s="19" t="n"/>
      <c r="K42" s="19" t="n"/>
      <c r="L42" s="19" t="n"/>
      <c r="M42" s="19" t="n"/>
      <c r="N42" s="19" t="n"/>
      <c r="O42" s="19" t="n"/>
      <c r="P42" s="19" t="n"/>
      <c r="Q42" s="19" t="n"/>
      <c r="R42" s="19" t="n"/>
      <c r="S42" s="19" t="n"/>
      <c r="T42" s="19" t="n"/>
      <c r="U42" s="19" t="n"/>
      <c r="V42" s="19" t="n"/>
      <c r="W42" s="19" t="n"/>
      <c r="X42" s="19" t="n"/>
      <c r="Y42" s="19" t="n"/>
      <c r="Z42" s="19" t="n"/>
    </row>
    <row r="43">
      <c r="A43" s="4" t="n"/>
      <c r="B43" s="14">
        <f>row()-3</f>
        <v/>
      </c>
      <c r="C43" s="96" t="n"/>
      <c r="D43" s="26" t="n"/>
      <c r="E43" s="19" t="n"/>
      <c r="F43" s="19" t="n"/>
      <c r="G43" s="19" t="n"/>
      <c r="H43" s="19" t="n"/>
      <c r="I43" s="19" t="n"/>
      <c r="J43" s="19" t="n"/>
      <c r="K43" s="19" t="n"/>
      <c r="L43" s="19" t="n"/>
      <c r="M43" s="19" t="n"/>
      <c r="N43" s="19" t="n"/>
      <c r="O43" s="19" t="n"/>
      <c r="P43" s="19" t="n"/>
      <c r="Q43" s="19" t="n"/>
      <c r="R43" s="19" t="n"/>
      <c r="S43" s="19" t="n"/>
      <c r="T43" s="19" t="n"/>
      <c r="U43" s="19" t="n"/>
      <c r="V43" s="19" t="n"/>
      <c r="W43" s="19" t="n"/>
      <c r="X43" s="19" t="n"/>
      <c r="Y43" s="19" t="n"/>
      <c r="Z43" s="19" t="n"/>
    </row>
    <row r="44">
      <c r="A44" s="4" t="n"/>
      <c r="B44" s="17">
        <f>row()-3</f>
        <v/>
      </c>
      <c r="C44" s="97" t="n"/>
      <c r="D44" s="28" t="n"/>
      <c r="E44" s="19" t="n"/>
      <c r="F44" s="19" t="n"/>
      <c r="G44" s="19" t="n"/>
      <c r="H44" s="19" t="n"/>
      <c r="I44" s="19" t="n"/>
      <c r="J44" s="19" t="n"/>
      <c r="K44" s="19" t="n"/>
      <c r="L44" s="19" t="n"/>
      <c r="M44" s="19" t="n"/>
      <c r="N44" s="19" t="n"/>
      <c r="O44" s="19" t="n"/>
      <c r="P44" s="19" t="n"/>
      <c r="Q44" s="19" t="n"/>
      <c r="R44" s="19" t="n"/>
      <c r="S44" s="19" t="n"/>
      <c r="T44" s="19" t="n"/>
      <c r="U44" s="19" t="n"/>
      <c r="V44" s="19" t="n"/>
      <c r="W44" s="19" t="n"/>
      <c r="X44" s="19" t="n"/>
      <c r="Y44" s="19" t="n"/>
      <c r="Z44" s="19" t="n"/>
    </row>
    <row r="45">
      <c r="A45" s="4" t="n"/>
      <c r="B45" s="7">
        <f>row()-3</f>
        <v/>
      </c>
      <c r="C45" s="95" t="n"/>
      <c r="D45" s="25" t="n"/>
      <c r="E45" s="19"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row>
    <row r="46">
      <c r="A46" s="4" t="n"/>
      <c r="B46" s="7">
        <f>row()-3</f>
        <v/>
      </c>
      <c r="C46" s="95" t="n"/>
      <c r="D46" s="25" t="n"/>
      <c r="E46" s="19" t="n"/>
      <c r="F46" s="19" t="n"/>
      <c r="G46" s="19" t="n"/>
      <c r="H46" s="19" t="n"/>
      <c r="I46" s="19" t="n"/>
      <c r="J46" s="19" t="n"/>
      <c r="K46" s="19" t="n"/>
      <c r="L46" s="19" t="n"/>
      <c r="M46" s="19" t="n"/>
      <c r="N46" s="19" t="n"/>
      <c r="O46" s="19" t="n"/>
      <c r="P46" s="19" t="n"/>
      <c r="Q46" s="19" t="n"/>
      <c r="R46" s="19" t="n"/>
      <c r="S46" s="19" t="n"/>
      <c r="T46" s="19" t="n"/>
      <c r="U46" s="19" t="n"/>
      <c r="V46" s="19" t="n"/>
      <c r="W46" s="19" t="n"/>
      <c r="X46" s="19" t="n"/>
      <c r="Y46" s="19" t="n"/>
      <c r="Z46" s="19" t="n"/>
    </row>
    <row r="47">
      <c r="A47" s="4" t="n"/>
      <c r="B47" s="7">
        <f>row()-3</f>
        <v/>
      </c>
      <c r="C47" s="95" t="n"/>
      <c r="D47" s="25" t="n"/>
      <c r="E47" s="19"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row>
    <row r="48">
      <c r="A48" s="4" t="n"/>
      <c r="B48" s="14">
        <f>row()-3</f>
        <v/>
      </c>
      <c r="C48" s="96" t="n"/>
      <c r="D48" s="21" t="n"/>
      <c r="E48" s="19" t="n"/>
      <c r="F48" s="19" t="n"/>
      <c r="G48" s="19" t="n"/>
      <c r="H48" s="19" t="n"/>
      <c r="I48" s="19" t="n"/>
      <c r="J48" s="19" t="n"/>
      <c r="K48" s="19" t="n"/>
      <c r="L48" s="19" t="n"/>
      <c r="M48" s="19" t="n"/>
      <c r="N48" s="19" t="n"/>
      <c r="O48" s="19" t="n"/>
      <c r="P48" s="19" t="n"/>
      <c r="Q48" s="19" t="n"/>
      <c r="R48" s="19" t="n"/>
      <c r="S48" s="19" t="n"/>
      <c r="T48" s="19" t="n"/>
      <c r="U48" s="19" t="n"/>
      <c r="V48" s="19" t="n"/>
      <c r="W48" s="19" t="n"/>
      <c r="X48" s="19" t="n"/>
      <c r="Y48" s="19" t="n"/>
      <c r="Z48" s="19" t="n"/>
    </row>
    <row r="49">
      <c r="A49" s="19" t="n"/>
      <c r="B49" s="17">
        <f>row()-3</f>
        <v/>
      </c>
      <c r="C49" s="94" t="n"/>
      <c r="D49" s="28" t="n"/>
      <c r="E49" s="19" t="n"/>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row>
    <row r="50">
      <c r="A50" s="19" t="n"/>
      <c r="B50" s="7">
        <f>row()-3</f>
        <v/>
      </c>
      <c r="C50" s="95" t="n"/>
      <c r="D50" s="13" t="n"/>
      <c r="E50" s="19" t="n"/>
      <c r="F50" s="19" t="n"/>
      <c r="G50" s="19" t="n"/>
      <c r="H50" s="19" t="n"/>
      <c r="I50" s="19" t="n"/>
      <c r="J50" s="19" t="n"/>
      <c r="K50" s="19" t="n"/>
      <c r="L50" s="19" t="n"/>
      <c r="M50" s="19" t="n"/>
      <c r="N50" s="19" t="n"/>
      <c r="O50" s="19" t="n"/>
      <c r="P50" s="19" t="n"/>
      <c r="Q50" s="19" t="n"/>
      <c r="R50" s="19" t="n"/>
      <c r="S50" s="19" t="n"/>
      <c r="T50" s="19" t="n"/>
      <c r="U50" s="19" t="n"/>
      <c r="V50" s="19" t="n"/>
      <c r="W50" s="19" t="n"/>
      <c r="X50" s="19" t="n"/>
      <c r="Y50" s="19" t="n"/>
      <c r="Z50" s="19" t="n"/>
    </row>
    <row r="51">
      <c r="A51" s="19" t="n"/>
      <c r="B51" s="14">
        <f>row()-3</f>
        <v/>
      </c>
      <c r="C51" s="96" t="n"/>
      <c r="D51" s="13" t="n"/>
      <c r="E51" s="19" t="n"/>
      <c r="F51" s="19" t="n"/>
      <c r="G51" s="19" t="n"/>
      <c r="H51" s="19" t="n"/>
      <c r="I51" s="19" t="n"/>
      <c r="J51" s="19" t="n"/>
      <c r="K51" s="19" t="n"/>
      <c r="L51" s="19" t="n"/>
      <c r="M51" s="19" t="n"/>
      <c r="N51" s="19" t="n"/>
      <c r="O51" s="19" t="n"/>
      <c r="P51" s="19" t="n"/>
      <c r="Q51" s="19" t="n"/>
      <c r="R51" s="19" t="n"/>
      <c r="S51" s="19" t="n"/>
      <c r="T51" s="19" t="n"/>
      <c r="U51" s="19" t="n"/>
      <c r="V51" s="19" t="n"/>
      <c r="W51" s="19" t="n"/>
      <c r="X51" s="19" t="n"/>
      <c r="Y51" s="19" t="n"/>
      <c r="Z51" s="19" t="n"/>
    </row>
    <row r="52">
      <c r="A52" s="4" t="n"/>
      <c r="B52" s="17">
        <f>row()-3</f>
        <v/>
      </c>
      <c r="C52" s="94" t="n"/>
      <c r="D52" s="28" t="n"/>
      <c r="E52" s="19" t="n"/>
      <c r="F52" s="19" t="n"/>
      <c r="G52" s="19" t="n"/>
      <c r="H52" s="19" t="n"/>
      <c r="I52" s="19" t="n"/>
      <c r="J52" s="19" t="n"/>
      <c r="K52" s="19" t="n"/>
      <c r="L52" s="19" t="n"/>
      <c r="M52" s="19" t="n"/>
      <c r="N52" s="19" t="n"/>
      <c r="O52" s="19" t="n"/>
      <c r="P52" s="19" t="n"/>
      <c r="Q52" s="19" t="n"/>
      <c r="R52" s="19" t="n"/>
      <c r="S52" s="19" t="n"/>
      <c r="T52" s="19" t="n"/>
      <c r="U52" s="19" t="n"/>
      <c r="V52" s="19" t="n"/>
      <c r="W52" s="19" t="n"/>
      <c r="X52" s="19" t="n"/>
      <c r="Y52" s="19" t="n"/>
      <c r="Z52" s="19" t="n"/>
    </row>
    <row r="53">
      <c r="A53" s="4" t="n"/>
      <c r="B53" s="7">
        <f>row()-3</f>
        <v/>
      </c>
      <c r="C53" s="95" t="n"/>
      <c r="D53" s="25" t="n"/>
      <c r="E53" s="19"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row>
    <row r="54">
      <c r="A54" s="4" t="n"/>
      <c r="B54" s="7">
        <f>row()-3</f>
        <v/>
      </c>
      <c r="C54" s="95" t="n"/>
      <c r="D54" s="21"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row>
    <row r="55">
      <c r="A55" s="4" t="n"/>
      <c r="B55" s="7">
        <f>row()-3</f>
        <v/>
      </c>
      <c r="C55" s="95" t="n"/>
      <c r="D55" s="21" t="n"/>
      <c r="E55" s="19"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row>
    <row r="56">
      <c r="A56" s="4" t="n"/>
      <c r="B56" s="7">
        <f>row()-3</f>
        <v/>
      </c>
      <c r="C56" s="95" t="n"/>
      <c r="D56" s="25" t="n"/>
      <c r="E56" s="19" t="n"/>
      <c r="F56" s="19" t="n"/>
      <c r="G56" s="19" t="n"/>
      <c r="H56" s="19" t="n"/>
      <c r="I56" s="19" t="n"/>
      <c r="J56" s="19" t="n"/>
      <c r="K56" s="19" t="n"/>
      <c r="L56" s="19" t="n"/>
      <c r="M56" s="19" t="n"/>
      <c r="N56" s="19" t="n"/>
      <c r="O56" s="19" t="n"/>
      <c r="P56" s="19" t="n"/>
      <c r="Q56" s="19" t="n"/>
      <c r="R56" s="19" t="n"/>
      <c r="S56" s="19" t="n"/>
      <c r="T56" s="19" t="n"/>
      <c r="U56" s="19" t="n"/>
      <c r="V56" s="19" t="n"/>
      <c r="W56" s="19" t="n"/>
      <c r="X56" s="19" t="n"/>
      <c r="Y56" s="19" t="n"/>
      <c r="Z56" s="19" t="n"/>
    </row>
    <row r="57">
      <c r="A57" s="4" t="n"/>
      <c r="B57" s="7">
        <f>row()-3</f>
        <v/>
      </c>
      <c r="C57" s="95" t="n"/>
      <c r="D57" s="25" t="n"/>
      <c r="E57" s="19"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row>
    <row r="58">
      <c r="A58" s="4" t="n"/>
      <c r="B58" s="14">
        <f>row()-3</f>
        <v/>
      </c>
      <c r="C58" s="96" t="n"/>
      <c r="D58" s="26" t="n"/>
      <c r="E58" s="19"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row>
    <row r="59">
      <c r="A59" s="4" t="n"/>
      <c r="B59" s="17">
        <f>row()-3</f>
        <v/>
      </c>
      <c r="C59" s="94" t="n"/>
      <c r="D59" s="28" t="n"/>
      <c r="E59" s="19"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row>
    <row r="60">
      <c r="A60" s="4" t="n"/>
      <c r="B60" s="7">
        <f>row()-3</f>
        <v/>
      </c>
      <c r="C60" s="95" t="n"/>
      <c r="D60" s="21" t="n"/>
      <c r="E60" s="19" t="n"/>
      <c r="F60" s="19" t="n"/>
      <c r="G60" s="19" t="n"/>
      <c r="H60" s="19" t="n"/>
      <c r="I60" s="19" t="n"/>
      <c r="J60" s="19" t="n"/>
      <c r="K60" s="19" t="n"/>
      <c r="L60" s="19" t="n"/>
      <c r="M60" s="19" t="n"/>
      <c r="N60" s="19" t="n"/>
      <c r="O60" s="19" t="n"/>
      <c r="P60" s="19" t="n"/>
      <c r="Q60" s="19" t="n"/>
      <c r="R60" s="19" t="n"/>
      <c r="S60" s="19" t="n"/>
      <c r="T60" s="19" t="n"/>
      <c r="U60" s="19" t="n"/>
      <c r="V60" s="19" t="n"/>
      <c r="W60" s="19" t="n"/>
      <c r="X60" s="19" t="n"/>
      <c r="Y60" s="19" t="n"/>
      <c r="Z60" s="19" t="n"/>
    </row>
    <row r="61">
      <c r="A61" s="4" t="n"/>
      <c r="B61" s="7">
        <f>row()-3</f>
        <v/>
      </c>
      <c r="C61" s="95" t="n"/>
      <c r="D61" s="32" t="n"/>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row>
    <row r="62">
      <c r="A62" s="4" t="n"/>
      <c r="B62" s="30">
        <f>row()-3</f>
        <v/>
      </c>
      <c r="C62" s="96" t="n"/>
      <c r="D62" s="33" t="n"/>
      <c r="E62" s="19"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row>
    <row r="63">
      <c r="A63" s="4" t="n"/>
      <c r="B63" s="7">
        <f>row()-3</f>
        <v/>
      </c>
      <c r="C63" s="94" t="n"/>
      <c r="D63" s="28"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row>
    <row r="64">
      <c r="A64" s="4" t="n"/>
      <c r="B64" s="7">
        <f>row()-3</f>
        <v/>
      </c>
      <c r="C64" s="95" t="n"/>
      <c r="D64" s="21" t="n"/>
      <c r="E64" s="19"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row>
    <row r="65">
      <c r="A65" s="4" t="n"/>
      <c r="B65" s="7">
        <f>row()-3</f>
        <v/>
      </c>
      <c r="C65" s="95" t="n"/>
      <c r="D65" s="32"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row>
    <row r="66">
      <c r="A66" s="4" t="n"/>
      <c r="B66" s="14">
        <f>row()-3</f>
        <v/>
      </c>
      <c r="C66" s="96" t="n"/>
      <c r="D66" s="33" t="n"/>
      <c r="E66" s="19"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row>
    <row r="67">
      <c r="A67" s="4" t="n"/>
      <c r="B67" s="17">
        <f>row()-3</f>
        <v/>
      </c>
      <c r="C67" s="94" t="n"/>
      <c r="D67" s="28"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row>
    <row r="68">
      <c r="A68" s="4" t="n"/>
      <c r="B68" s="7">
        <f>row()-3</f>
        <v/>
      </c>
      <c r="C68" s="95" t="n"/>
      <c r="D68" s="21" t="n"/>
      <c r="E68" s="19"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row>
    <row r="69">
      <c r="A69" s="4" t="n"/>
      <c r="B69" s="7">
        <f>row()-3</f>
        <v/>
      </c>
      <c r="C69" s="95" t="n"/>
      <c r="D69" s="13"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row>
    <row r="70">
      <c r="A70" s="4" t="n"/>
      <c r="B70" s="7">
        <f>row()-3</f>
        <v/>
      </c>
      <c r="C70" s="95" t="n"/>
      <c r="D70" s="21"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row>
    <row r="71">
      <c r="A71" s="4" t="n"/>
      <c r="B71" s="14">
        <f>row()-3</f>
        <v/>
      </c>
      <c r="C71" s="96" t="n"/>
      <c r="D71" s="26"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row>
    <row r="72">
      <c r="A72" s="4" t="n"/>
      <c r="B72" s="17">
        <f>row()-3</f>
        <v/>
      </c>
      <c r="C72" s="94" t="n"/>
      <c r="D72" s="28"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row>
    <row r="73">
      <c r="A73" s="4" t="n"/>
      <c r="B73" s="7">
        <f>row()-3</f>
        <v/>
      </c>
      <c r="C73" s="95" t="n"/>
      <c r="D73" s="21"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row>
    <row r="74">
      <c r="A74" s="4" t="n"/>
      <c r="B74" s="7">
        <f>row()-3</f>
        <v/>
      </c>
      <c r="C74" s="95" t="n"/>
      <c r="D74" s="13" t="n"/>
      <c r="E74" s="19"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row>
    <row r="75">
      <c r="A75" s="4" t="n"/>
      <c r="B75" s="7">
        <f>row()-3</f>
        <v/>
      </c>
      <c r="C75" s="95" t="n"/>
      <c r="D75" s="13"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row>
    <row r="76">
      <c r="A76" s="4" t="n"/>
      <c r="B76" s="7">
        <f>row()-3</f>
        <v/>
      </c>
      <c r="C76" s="95" t="n"/>
      <c r="D76" s="21"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row>
    <row r="77">
      <c r="A77" s="4" t="n"/>
      <c r="B77" s="7">
        <f>row()-3</f>
        <v/>
      </c>
      <c r="C77" s="95" t="n"/>
      <c r="D77" s="21"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row>
    <row r="78">
      <c r="A78" s="4" t="n"/>
      <c r="B78" s="7">
        <f>row()-3</f>
        <v/>
      </c>
      <c r="C78" s="95" t="n"/>
      <c r="D78" s="21" t="n"/>
      <c r="E78" s="19"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row>
    <row r="79">
      <c r="A79" s="4" t="n"/>
      <c r="B79" s="7">
        <f>row()-3</f>
        <v/>
      </c>
      <c r="C79" s="95" t="n"/>
      <c r="D79" s="21"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row>
    <row r="80">
      <c r="A80" s="4" t="n"/>
      <c r="B80" s="7">
        <f>row()-3</f>
        <v/>
      </c>
      <c r="C80" s="95" t="n"/>
      <c r="D80" s="21" t="n"/>
      <c r="E80" s="19"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row>
    <row r="81">
      <c r="A81" s="4" t="n"/>
      <c r="B81" s="7">
        <f>row()-3</f>
        <v/>
      </c>
      <c r="C81" s="95" t="n"/>
      <c r="D81" s="21"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row>
    <row r="82">
      <c r="A82" s="4" t="n"/>
      <c r="B82" s="7">
        <f>row()-3</f>
        <v/>
      </c>
      <c r="C82" s="95" t="n"/>
      <c r="D82" s="21" t="n"/>
      <c r="E82" s="19"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row>
    <row r="83">
      <c r="A83" s="4" t="n"/>
      <c r="B83" s="7">
        <f>row()-3</f>
        <v/>
      </c>
      <c r="C83" s="95" t="n"/>
      <c r="D83" s="21"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row>
    <row r="84">
      <c r="A84" s="4" t="n"/>
      <c r="B84" s="7">
        <f>row()-3</f>
        <v/>
      </c>
      <c r="C84" s="95" t="n"/>
      <c r="D84" s="21" t="n"/>
      <c r="E84" s="19"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row>
    <row r="85">
      <c r="A85" s="4" t="n"/>
      <c r="B85" s="7">
        <f>row()-3</f>
        <v/>
      </c>
      <c r="C85" s="95" t="n"/>
      <c r="D85" s="21"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row>
    <row r="86">
      <c r="A86" s="19" t="n"/>
      <c r="B86" s="7">
        <f>row()-3</f>
        <v/>
      </c>
      <c r="C86" s="95" t="n"/>
      <c r="D86" s="21"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row>
    <row r="87">
      <c r="A87" s="19" t="n"/>
      <c r="B87" s="7">
        <f>row()-3</f>
        <v/>
      </c>
      <c r="C87" s="95" t="n"/>
      <c r="D87" s="21"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row>
    <row r="88">
      <c r="A88" s="19" t="n"/>
      <c r="B88" s="7">
        <f>row()-3</f>
        <v/>
      </c>
      <c r="C88" s="95" t="n"/>
      <c r="D88" s="21" t="n"/>
      <c r="E88" s="19"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row>
    <row r="89">
      <c r="A89" s="19" t="n"/>
      <c r="B89" s="7">
        <f>row()-3</f>
        <v/>
      </c>
      <c r="C89" s="95" t="n"/>
      <c r="D89" s="21"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row>
    <row r="90">
      <c r="A90" s="19" t="n"/>
      <c r="B90" s="7">
        <f>row()-3</f>
        <v/>
      </c>
      <c r="C90" s="95" t="n"/>
      <c r="D90" s="13" t="n"/>
      <c r="E90" s="19"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row>
    <row r="91">
      <c r="A91" s="19" t="n"/>
      <c r="B91" s="7">
        <f>row()-3</f>
        <v/>
      </c>
      <c r="C91" s="96" t="n"/>
      <c r="D91" s="13"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row>
    <row r="92">
      <c r="A92" s="19" t="n"/>
      <c r="B92" s="17">
        <f>row()-3</f>
        <v/>
      </c>
      <c r="C92" s="94" t="n"/>
      <c r="D92" s="34"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row>
    <row r="93">
      <c r="A93" s="19" t="n"/>
      <c r="B93" s="7">
        <f>row()-3</f>
        <v/>
      </c>
      <c r="C93" s="95" t="n"/>
      <c r="D93" s="13"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row>
    <row r="94">
      <c r="A94" s="19" t="n"/>
      <c r="B94" s="7">
        <f>row()-3</f>
        <v/>
      </c>
      <c r="C94" s="95" t="n"/>
      <c r="D94" s="13" t="n"/>
      <c r="E94" s="19"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row>
    <row r="95">
      <c r="A95" s="19" t="n"/>
      <c r="B95" s="7">
        <f>row()-3</f>
        <v/>
      </c>
      <c r="C95" s="95" t="n"/>
      <c r="D95" s="13"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row>
    <row r="96">
      <c r="A96" s="19" t="n"/>
      <c r="B96" s="7">
        <f>row()-3</f>
        <v/>
      </c>
      <c r="C96" s="95" t="n"/>
      <c r="D96" s="13"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row>
    <row r="97">
      <c r="A97" s="19" t="n"/>
      <c r="B97" s="7">
        <f>row()-3</f>
        <v/>
      </c>
      <c r="C97" s="95" t="n"/>
      <c r="D97" s="13"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row>
    <row r="98">
      <c r="A98" s="19" t="n"/>
      <c r="B98" s="14">
        <f>row()-3</f>
        <v/>
      </c>
      <c r="C98" s="96" t="n"/>
      <c r="D98" s="35"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row>
    <row r="99">
      <c r="A99" s="19" t="n"/>
      <c r="B99" s="17">
        <f>row()-3</f>
        <v/>
      </c>
      <c r="C99" s="94" t="n"/>
      <c r="D99" s="28"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row>
    <row r="100">
      <c r="A100" s="19" t="n"/>
      <c r="B100" s="7">
        <f>row()-3</f>
        <v/>
      </c>
      <c r="C100" s="95" t="n"/>
      <c r="D100" s="21"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row>
    <row r="101">
      <c r="A101" s="19" t="n"/>
      <c r="B101" s="7">
        <f>row()-3</f>
        <v/>
      </c>
      <c r="C101" s="95" t="n"/>
      <c r="D101" s="21"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row>
    <row r="102">
      <c r="A102" s="19" t="n"/>
      <c r="B102" s="7">
        <f>row()-3</f>
        <v/>
      </c>
      <c r="C102" s="95" t="n"/>
      <c r="D102" s="21"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row>
    <row r="103">
      <c r="A103" s="19" t="n"/>
      <c r="B103" s="7">
        <f>row()-3</f>
        <v/>
      </c>
      <c r="C103" s="95" t="n"/>
      <c r="D103" s="21"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row>
    <row r="104">
      <c r="A104" s="19" t="n"/>
      <c r="B104" s="7">
        <f>row()-3</f>
        <v/>
      </c>
      <c r="C104" s="95" t="n"/>
      <c r="D104" s="21"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row>
    <row r="105">
      <c r="A105" s="19" t="n"/>
      <c r="B105" s="7">
        <f>row()-3</f>
        <v/>
      </c>
      <c r="C105" s="95" t="n"/>
      <c r="D105" s="21"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row>
    <row r="106">
      <c r="A106" s="19" t="n"/>
      <c r="B106" s="7">
        <f>row()-3</f>
        <v/>
      </c>
      <c r="C106" s="95" t="n"/>
      <c r="D106" s="21"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row>
    <row r="107">
      <c r="A107" s="19" t="n"/>
      <c r="B107" s="7">
        <f>row()-3</f>
        <v/>
      </c>
      <c r="C107" s="95" t="n"/>
      <c r="D107" s="21"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row>
    <row r="108">
      <c r="A108" s="19" t="n"/>
      <c r="B108" s="7">
        <f>row()-3</f>
        <v/>
      </c>
      <c r="C108" s="95" t="n"/>
      <c r="D108" s="21"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row>
    <row r="109">
      <c r="A109" s="19" t="n"/>
      <c r="B109" s="14">
        <f>row()-3</f>
        <v/>
      </c>
      <c r="C109" s="96" t="n"/>
      <c r="D109" s="26"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row>
    <row r="110">
      <c r="A110" s="19" t="n"/>
      <c r="B110" s="17">
        <f>row()-3</f>
        <v/>
      </c>
      <c r="C110" s="94" t="n"/>
      <c r="D110" s="28"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row>
    <row r="111">
      <c r="A111" s="19" t="n"/>
      <c r="B111" s="7">
        <f>row()-3</f>
        <v/>
      </c>
      <c r="C111" s="95" t="n"/>
      <c r="D111" s="21"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row>
    <row r="112">
      <c r="A112" s="19" t="n"/>
      <c r="B112" s="14">
        <f>row()-3</f>
        <v/>
      </c>
      <c r="C112" s="96" t="n"/>
      <c r="D112" s="26"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row>
    <row r="113">
      <c r="A113" s="19" t="n"/>
      <c r="B113" s="17">
        <f>row()-3</f>
        <v/>
      </c>
      <c r="C113" s="94" t="n"/>
      <c r="D113" s="28"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row>
    <row r="114">
      <c r="A114" s="19" t="n"/>
      <c r="B114" s="7">
        <f>row()-3</f>
        <v/>
      </c>
      <c r="C114" s="95" t="n"/>
      <c r="D114" s="26"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row>
    <row r="115">
      <c r="A115" s="19" t="n"/>
      <c r="B115" s="7">
        <f>row()-3</f>
        <v/>
      </c>
      <c r="C115" s="95" t="n"/>
      <c r="D115" s="25"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row>
    <row r="116">
      <c r="A116" s="19" t="n"/>
      <c r="B116" s="14">
        <f>row()-3</f>
        <v/>
      </c>
      <c r="C116" s="96" t="n"/>
      <c r="D116" s="36"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row>
    <row r="117">
      <c r="A117" s="19" t="n"/>
      <c r="B117" s="37">
        <f>row()-3</f>
        <v/>
      </c>
      <c r="C117" s="27" t="n"/>
      <c r="D117" s="38"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row>
    <row r="118">
      <c r="A118" s="19" t="n"/>
      <c r="B118" s="7">
        <f>row()-3</f>
        <v/>
      </c>
      <c r="C118" s="39" t="n"/>
      <c r="D118" s="28"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row>
    <row r="119">
      <c r="A119" s="19" t="n"/>
      <c r="B119" s="19" t="n"/>
      <c r="C119" s="1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row>
    <row r="120">
      <c r="A120" s="19" t="n"/>
      <c r="B120" s="19" t="n"/>
      <c r="C120" s="1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row>
    <row r="121">
      <c r="A121" s="19" t="n"/>
      <c r="B121" s="19" t="n"/>
      <c r="C121" s="1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row>
    <row r="122">
      <c r="A122" s="19" t="n"/>
      <c r="B122" s="19" t="n"/>
      <c r="C122" s="1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row>
    <row r="123">
      <c r="A123" s="19" t="n"/>
      <c r="B123" s="19" t="n"/>
      <c r="C123" s="1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row>
    <row r="124">
      <c r="A124" s="19" t="n"/>
      <c r="B124" s="19" t="n"/>
      <c r="C124" s="1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row>
    <row r="125">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row>
    <row r="126">
      <c r="A126" s="19" t="n"/>
      <c r="B126" s="19" t="n"/>
      <c r="C126" s="1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row>
    <row r="127">
      <c r="A127" s="19" t="n"/>
      <c r="B127" s="19" t="n"/>
      <c r="C127" s="1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row>
    <row r="128">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row>
    <row r="129">
      <c r="A129" s="19" t="n"/>
      <c r="B129" s="19" t="n"/>
      <c r="C129" s="1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row>
    <row r="130">
      <c r="A130" s="19" t="n"/>
      <c r="B130" s="19" t="n"/>
      <c r="C130" s="1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row>
    <row r="131">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row>
    <row r="132">
      <c r="A132" s="19"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row>
    <row r="133">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row>
    <row r="134">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row>
    <row r="135">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row>
    <row r="136">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row>
    <row r="137">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row>
    <row r="138">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row>
    <row r="139">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row>
    <row r="140">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row>
    <row r="141">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row>
    <row r="142">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row>
    <row r="143">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row>
    <row r="144">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row>
    <row r="145">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row>
    <row r="146">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row>
    <row r="147">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row>
    <row r="148">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row>
    <row r="149">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row>
    <row r="150">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row>
    <row r="151">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row>
    <row r="152">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row>
    <row r="153">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row>
    <row r="154">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row>
    <row r="155">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row>
    <row r="156">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row>
    <row r="157">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row>
    <row r="158">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row>
    <row r="159">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row>
    <row r="160">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row>
    <row r="161">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row>
    <row r="162">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row>
    <row r="163">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row>
    <row r="164">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row>
    <row r="165">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row>
    <row r="166">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row>
    <row r="167">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row>
    <row r="168">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row>
    <row r="169">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row>
    <row r="170">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row>
    <row r="171">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row>
    <row r="172">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row>
    <row r="173">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row>
    <row r="174">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row>
    <row r="175">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row>
    <row r="176">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row>
    <row r="177">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row>
    <row r="178">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row>
    <row r="179">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row>
    <row r="180">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row>
    <row r="181">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row>
    <row r="182">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row>
    <row r="183">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row>
    <row r="184">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row>
    <row r="185">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row>
    <row r="186">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row>
    <row r="187">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row>
    <row r="188">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row>
    <row r="189">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row>
    <row r="190">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row>
    <row r="191">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row>
    <row r="192">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row>
    <row r="193">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row>
    <row r="194">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row>
    <row r="195">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row>
    <row r="196">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row>
    <row r="197">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row>
    <row r="198">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row>
    <row r="199">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row>
    <row r="200">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row>
    <row r="201">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row>
    <row r="202">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row>
    <row r="203">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row>
    <row r="204">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row>
    <row r="205">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row>
    <row r="206">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row>
    <row r="207">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row>
    <row r="208">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row>
    <row r="209">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row>
    <row r="210">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row>
    <row r="211">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row>
    <row r="212">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row>
    <row r="213">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row>
    <row r="214">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row>
    <row r="215">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row>
    <row r="216">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row>
    <row r="217">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row>
    <row r="218">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row>
    <row r="219">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row>
    <row r="220">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row>
    <row r="221">
      <c r="A221" s="19"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row>
    <row r="222">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row>
    <row r="223">
      <c r="A223" s="19"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row>
    <row r="224">
      <c r="A224" s="19"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row>
    <row r="225">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row>
    <row r="226">
      <c r="A226" s="19"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row>
    <row r="227">
      <c r="A227" s="19"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row>
    <row r="228">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row>
    <row r="229">
      <c r="A229" s="19" t="n"/>
      <c r="B229" s="19" t="n"/>
      <c r="C229" s="19" t="n"/>
      <c r="D229" s="19" t="n"/>
      <c r="E229" s="19"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row>
    <row r="230">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row>
    <row r="231">
      <c r="A231" s="19" t="n"/>
      <c r="B231" s="19" t="n"/>
      <c r="C231" s="19" t="n"/>
      <c r="D231" s="19" t="n"/>
      <c r="E231" s="19"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row>
    <row r="232">
      <c r="A232" s="19" t="n"/>
      <c r="B232" s="19" t="n"/>
      <c r="C232" s="19" t="n"/>
      <c r="D232" s="19" t="n"/>
      <c r="E232" s="19"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row>
    <row r="233">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row>
    <row r="234">
      <c r="A234" s="19" t="n"/>
      <c r="B234" s="19" t="n"/>
      <c r="C234" s="19" t="n"/>
      <c r="D234" s="19" t="n"/>
      <c r="E234" s="19"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row>
    <row r="235">
      <c r="A235" s="19" t="n"/>
      <c r="B235" s="19" t="n"/>
      <c r="C235" s="19" t="n"/>
      <c r="D235" s="19" t="n"/>
      <c r="E235" s="19"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row>
    <row r="236">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row>
    <row r="237">
      <c r="A237" s="19" t="n"/>
      <c r="B237" s="19" t="n"/>
      <c r="C237" s="19" t="n"/>
      <c r="D237" s="19" t="n"/>
      <c r="E237" s="19"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row>
    <row r="238">
      <c r="A238" s="19" t="n"/>
      <c r="B238" s="19" t="n"/>
      <c r="C238" s="19" t="n"/>
      <c r="D238" s="19" t="n"/>
      <c r="E238" s="19"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row>
    <row r="239">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row>
    <row r="240">
      <c r="A240" s="19" t="n"/>
      <c r="B240" s="19" t="n"/>
      <c r="C240" s="19" t="n"/>
      <c r="D240" s="19" t="n"/>
      <c r="E240" s="19"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row>
    <row r="241">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row>
    <row r="242">
      <c r="A242" s="19" t="n"/>
      <c r="B242" s="19" t="n"/>
      <c r="C242" s="19" t="n"/>
      <c r="D242" s="19" t="n"/>
      <c r="E242" s="19"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row>
    <row r="243">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row>
    <row r="244">
      <c r="A244" s="19"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row>
    <row r="245">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row>
    <row r="246">
      <c r="A246" s="19"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row>
    <row r="247">
      <c r="A247" s="19"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row>
    <row r="248">
      <c r="A248" s="19"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row>
    <row r="249">
      <c r="A249" s="19"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row>
    <row r="250">
      <c r="A250" s="19"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row>
    <row r="251">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row>
    <row r="252">
      <c r="A252" s="19"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row>
    <row r="253">
      <c r="A253" s="19"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row>
    <row r="254">
      <c r="A254" s="19"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row>
    <row r="255">
      <c r="A255" s="19"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row>
    <row r="256">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row>
    <row r="257">
      <c r="A257" s="19"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row>
    <row r="258">
      <c r="A258" s="19"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row>
    <row r="259">
      <c r="A259" s="19"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row>
    <row r="260">
      <c r="A260" s="19"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row>
    <row r="261">
      <c r="A261" s="19"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row>
    <row r="262">
      <c r="A262" s="19"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row>
    <row r="263">
      <c r="A263" s="19"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row>
    <row r="26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row>
    <row r="265">
      <c r="A265" s="19"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row>
    <row r="266">
      <c r="A266" s="19"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row>
    <row r="267">
      <c r="A267" s="19"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row>
    <row r="268">
      <c r="A268" s="19"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row>
    <row r="269">
      <c r="A269" s="19"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row>
    <row r="270">
      <c r="A270" s="19" t="n"/>
      <c r="B270" s="19" t="n"/>
      <c r="C270" s="19" t="n"/>
      <c r="D270" s="19" t="n"/>
      <c r="E270" s="19"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row>
    <row r="271">
      <c r="A271" s="19" t="n"/>
      <c r="B271" s="19" t="n"/>
      <c r="C271" s="19" t="n"/>
      <c r="D271" s="19" t="n"/>
      <c r="E271" s="19"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row>
    <row r="272">
      <c r="A272" s="19" t="n"/>
      <c r="B272" s="19" t="n"/>
      <c r="C272" s="19" t="n"/>
      <c r="D272" s="19" t="n"/>
      <c r="E272" s="19"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row>
    <row r="273">
      <c r="A273" s="19"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row>
    <row r="274">
      <c r="A274" s="19"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row>
    <row r="275">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sheetData>
  <mergeCells count="13">
    <mergeCell ref="C110:C112"/>
    <mergeCell ref="C44:C48"/>
    <mergeCell ref="C4:C26"/>
    <mergeCell ref="C113:C116"/>
    <mergeCell ref="C99:C109"/>
    <mergeCell ref="C52:C58"/>
    <mergeCell ref="C59:C62"/>
    <mergeCell ref="C72:C91"/>
    <mergeCell ref="C27:C43"/>
    <mergeCell ref="C67:C71"/>
    <mergeCell ref="C49:C51"/>
    <mergeCell ref="C92:C98"/>
    <mergeCell ref="C63:C66"/>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B1:I992"/>
  <sheetViews>
    <sheetView showGridLines="0" workbookViewId="0">
      <selection activeCell="A1" sqref="A1"/>
    </sheetView>
  </sheetViews>
  <sheetFormatPr baseColWidth="8" defaultColWidth="12.63" defaultRowHeight="15.75" customHeight="1"/>
  <cols>
    <col width="6.38" customWidth="1" style="93" min="2" max="2"/>
    <col width="48" customWidth="1" style="93" min="3" max="3"/>
    <col width="12.38" customWidth="1" style="93" min="4" max="4"/>
    <col width="10.13" customWidth="1" style="93" min="5" max="5"/>
    <col width="10" customWidth="1" style="93" min="6" max="6"/>
    <col width="11" customWidth="1" style="93" min="7" max="7"/>
    <col width="10.75" customWidth="1" style="93" min="8" max="8"/>
    <col width="11.88" customWidth="1" style="93" min="9" max="9"/>
  </cols>
  <sheetData>
    <row r="1">
      <c r="B1" s="40" t="n"/>
      <c r="C1" s="40" t="n"/>
    </row>
    <row r="2" ht="35.25" customHeight="1" s="93">
      <c r="B2" s="40" t="n"/>
      <c r="C2" s="40" t="n"/>
      <c r="E2" s="98" t="inlineStr">
        <is>
          <t>Result 1</t>
        </is>
      </c>
      <c r="F2" s="99" t="n"/>
      <c r="G2" s="100" t="n"/>
      <c r="H2" s="101" t="inlineStr">
        <is>
          <t>Result 2 (NG--&gt;OK, Pending--&gt;OK)</t>
        </is>
      </c>
      <c r="I2" s="100" t="n"/>
    </row>
    <row r="3">
      <c r="B3" s="45" t="inlineStr">
        <is>
          <t>No</t>
        </is>
      </c>
      <c r="C3" s="45" t="inlineStr">
        <is>
          <t>Screen name</t>
        </is>
      </c>
      <c r="D3" s="46" t="inlineStr">
        <is>
          <t>TCs plan</t>
        </is>
      </c>
      <c r="E3" s="47" t="inlineStr">
        <is>
          <t>OK</t>
        </is>
      </c>
      <c r="F3" s="47" t="inlineStr">
        <is>
          <t>NG</t>
        </is>
      </c>
      <c r="G3" s="47" t="inlineStr">
        <is>
          <t>Pending</t>
        </is>
      </c>
      <c r="H3" s="47" t="inlineStr">
        <is>
          <t>OK</t>
        </is>
      </c>
      <c r="I3" s="47" t="inlineStr">
        <is>
          <t>% Fixed</t>
        </is>
      </c>
    </row>
    <row r="4">
      <c r="B4" s="48" t="n">
        <v>1</v>
      </c>
      <c r="C4" s="49" t="inlineStr">
        <is>
          <t>DA_LIST_001 Tab Nhận kho</t>
        </is>
      </c>
      <c r="D4" s="50">
        <f>if($C4="","-", COUNTA(indirect("'"&amp;$C4&amp;"'!G2:G1000")))</f>
        <v/>
      </c>
      <c r="E4" s="51">
        <f>if($C4="","-", countif(indirect("'"&amp;$C4&amp;"'!M2:M1000"),E$3))</f>
        <v/>
      </c>
      <c r="F4" s="51">
        <f>if($C4="","-", countif(indirect("'"&amp;$C4&amp;"'!M2:M1000"),F$3))</f>
        <v/>
      </c>
      <c r="G4" s="51">
        <f>if($C4="","-", countif(indirect("'"&amp;$C4&amp;"'!M2:M1000"),G$3))</f>
        <v/>
      </c>
      <c r="H4" s="51">
        <f>if($C4="","-", countif(indirect("'"&amp;$C4&amp;"'!Q2:Q1000"),H$3))</f>
        <v/>
      </c>
      <c r="I4" s="52">
        <f>iferror(H4/(F4+G4),"-")</f>
        <v/>
      </c>
    </row>
    <row r="5">
      <c r="B5" s="50" t="n">
        <v>2</v>
      </c>
      <c r="C5" s="50" t="inlineStr">
        <is>
          <t>DA_LIST_002 Tab Chưa giao</t>
        </is>
      </c>
      <c r="D5" s="50">
        <f>if($C5="","-", COUNTA(indirect("'"&amp;$C5&amp;"'!G2:G1000")))</f>
        <v/>
      </c>
      <c r="E5" s="51">
        <f>if($C5="","-", countif(indirect("'"&amp;$C5&amp;"'!M2:M1000"),E$3))</f>
        <v/>
      </c>
      <c r="F5" s="51">
        <f>if($C5="","-", countif(indirect("'"&amp;$C5&amp;"'!M2:M1000"),F$3))</f>
        <v/>
      </c>
      <c r="G5" s="51">
        <f>if($C5="","-", countif(indirect("'"&amp;$C5&amp;"'!M2:M1000"),G$3))</f>
        <v/>
      </c>
      <c r="H5" s="51">
        <f>if($C5="","-", countif(indirect("'"&amp;$C5&amp;"'!Q2:Q1000"),H$3))</f>
        <v/>
      </c>
      <c r="I5" s="52">
        <f>iferror(H5/(F5+G5),"-")</f>
        <v/>
      </c>
    </row>
    <row r="6">
      <c r="B6" s="48" t="n">
        <v>3</v>
      </c>
      <c r="C6" s="53" t="inlineStr">
        <is>
          <t>DA_LIST_003 Tab Hoàn tất</t>
        </is>
      </c>
      <c r="D6" s="50">
        <f>if($C6="","-", COUNTA(indirect("'"&amp;$C6&amp;"'!G2:G1000")))</f>
        <v/>
      </c>
      <c r="E6" s="51">
        <f>if($C6="","-", countif(indirect("'"&amp;$C6&amp;"'!M2:M1000"),E$3))</f>
        <v/>
      </c>
      <c r="F6" s="51">
        <f>if($C6="","-", countif(indirect("'"&amp;$C6&amp;"'!M2:M1000"),F$3))</f>
        <v/>
      </c>
      <c r="G6" s="51">
        <f>if($C6="","-", countif(indirect("'"&amp;$C6&amp;"'!M2:M1000"),G$3))</f>
        <v/>
      </c>
      <c r="H6" s="51">
        <f>if($C6="","-", countif(indirect("'"&amp;$C6&amp;"'!Q2:Q1000"),H$3))</f>
        <v/>
      </c>
      <c r="I6" s="52">
        <f>iferror(H6/(F6+G6),"-")</f>
        <v/>
      </c>
    </row>
    <row r="7">
      <c r="B7" s="50" t="n">
        <v>4</v>
      </c>
      <c r="C7" s="50" t="n"/>
      <c r="D7" s="50">
        <f>if($C7="","-", COUNTA(indirect("'"&amp;$C7&amp;"'!G2:G1000")))</f>
        <v/>
      </c>
      <c r="E7" s="51">
        <f>if($C7="","-", countif(indirect("'"&amp;$C7&amp;"'!M2:M1000"),E$3))</f>
        <v/>
      </c>
      <c r="F7" s="51">
        <f>if($C7="","-", countif(indirect("'"&amp;$C7&amp;"'!M2:M1000"),F$3))</f>
        <v/>
      </c>
      <c r="G7" s="51">
        <f>if($C7="","-", countif(indirect("'"&amp;$C7&amp;"'!M2:M1000"),G$3))</f>
        <v/>
      </c>
      <c r="H7" s="51">
        <f>if($C7="","-", countif(indirect("'"&amp;$C7&amp;"'!Q2:Q1000"),H$3))</f>
        <v/>
      </c>
      <c r="I7" s="52">
        <f>iferror(H7/(F7+G7),"-")</f>
        <v/>
      </c>
    </row>
    <row r="8">
      <c r="B8" s="48" t="n">
        <v>5</v>
      </c>
      <c r="C8" s="53" t="n"/>
      <c r="D8" s="50">
        <f>if($C8="","-", COUNTA(indirect("'"&amp;$C8&amp;"'!G2:G1000")))</f>
        <v/>
      </c>
      <c r="E8" s="51">
        <f>if($C8="","-", countif(indirect("'"&amp;$C8&amp;"'!M2:M1000"),E$3))</f>
        <v/>
      </c>
      <c r="F8" s="51">
        <f>if($C8="","-", countif(indirect("'"&amp;$C8&amp;"'!M2:M1000"),F$3))</f>
        <v/>
      </c>
      <c r="G8" s="51">
        <f>if($C8="","-", countif(indirect("'"&amp;$C8&amp;"'!M2:M1000"),G$3))</f>
        <v/>
      </c>
      <c r="H8" s="51">
        <f>if($C8="","-", countif(indirect("'"&amp;$C8&amp;"'!Q2:Q1000"),H$3))</f>
        <v/>
      </c>
      <c r="I8" s="52">
        <f>iferror(H8/(F8+G8),"-")</f>
        <v/>
      </c>
    </row>
    <row r="9">
      <c r="B9" s="50" t="n">
        <v>6</v>
      </c>
      <c r="C9" s="50" t="n"/>
      <c r="D9" s="50">
        <f>if($C9="","-", COUNTA(indirect("'"&amp;$C9&amp;"'!G2:G1000")))</f>
        <v/>
      </c>
      <c r="E9" s="51">
        <f>if($C9="","-", countif(indirect("'"&amp;$C9&amp;"'!M2:M1000"),E$3))</f>
        <v/>
      </c>
      <c r="F9" s="51">
        <f>if($C9="","-", countif(indirect("'"&amp;$C9&amp;"'!M2:M1000"),F$3))</f>
        <v/>
      </c>
      <c r="G9" s="51">
        <f>if($C9="","-", countif(indirect("'"&amp;$C9&amp;"'!M2:M1000"),G$3))</f>
        <v/>
      </c>
      <c r="H9" s="51">
        <f>if($C9="","-", countif(indirect("'"&amp;$C9&amp;"'!Q2:Q1000"),H$3))</f>
        <v/>
      </c>
      <c r="I9" s="52">
        <f>iferror(H9/(F9+G9),"-")</f>
        <v/>
      </c>
    </row>
    <row r="10">
      <c r="B10" s="48" t="n">
        <v>7</v>
      </c>
      <c r="C10" s="50" t="n"/>
      <c r="D10" s="50">
        <f>if($C10="","-", COUNTA(indirect("'"&amp;$C10&amp;"'!G2:G1000")))</f>
        <v/>
      </c>
      <c r="E10" s="51">
        <f>if($C10="","-", countif(indirect("'"&amp;$C10&amp;"'!M2:M1000"),E$3))</f>
        <v/>
      </c>
      <c r="F10" s="51">
        <f>if($C10="","-", countif(indirect("'"&amp;$C10&amp;"'!M2:M1000"),F$3))</f>
        <v/>
      </c>
      <c r="G10" s="51">
        <f>if($C10="","-", countif(indirect("'"&amp;$C10&amp;"'!M2:M1000"),G$3))</f>
        <v/>
      </c>
      <c r="H10" s="51">
        <f>if($C10="","-", countif(indirect("'"&amp;$C10&amp;"'!Q2:Q1000"),H$3))</f>
        <v/>
      </c>
      <c r="I10" s="52">
        <f>iferror(H10/(F10+G10),"-")</f>
        <v/>
      </c>
    </row>
    <row r="11">
      <c r="B11" s="50" t="n">
        <v>8</v>
      </c>
      <c r="C11" s="54" t="n"/>
      <c r="D11" s="50">
        <f>if($C11="","-", COUNTA(indirect("'"&amp;$C11&amp;"'!G2:G1000")))</f>
        <v/>
      </c>
      <c r="E11" s="51">
        <f>if($C11="","-", countif(indirect("'"&amp;$C11&amp;"'!M2:M1000"),E$3))</f>
        <v/>
      </c>
      <c r="F11" s="51">
        <f>if($C11="","-", countif(indirect("'"&amp;$C11&amp;"'!M2:M1000"),F$3))</f>
        <v/>
      </c>
      <c r="G11" s="51">
        <f>if($C11="","-", countif(indirect("'"&amp;$C11&amp;"'!M2:M1000"),G$3))</f>
        <v/>
      </c>
      <c r="H11" s="51">
        <f>if($C11="","-", countif(indirect("'"&amp;$C11&amp;"'!Q2:Q1000"),H$3))</f>
        <v/>
      </c>
      <c r="I11" s="52">
        <f>iferror(H11/(F11+G11),"-")</f>
        <v/>
      </c>
    </row>
    <row r="12">
      <c r="B12" s="48" t="n">
        <v>9</v>
      </c>
      <c r="C12" s="50" t="n"/>
      <c r="D12" s="50">
        <f>if($C12="","-", COUNTA(indirect("'"&amp;$C12&amp;"'!G2:G1000")))</f>
        <v/>
      </c>
      <c r="E12" s="51">
        <f>if($C12="","-", countif(indirect("'"&amp;$C12&amp;"'!M2:M1000"),E$3))</f>
        <v/>
      </c>
      <c r="F12" s="51">
        <f>if($C12="","-", countif(indirect("'"&amp;$C12&amp;"'!M2:M1000"),F$3))</f>
        <v/>
      </c>
      <c r="G12" s="51">
        <f>if($C12="","-", countif(indirect("'"&amp;$C12&amp;"'!M2:M1000"),G$3))</f>
        <v/>
      </c>
      <c r="H12" s="51">
        <f>if($C12="","-", countif(indirect("'"&amp;$C12&amp;"'!Q2:Q1000"),H$3))</f>
        <v/>
      </c>
      <c r="I12" s="52">
        <f>iferror(H12/(F12+G12),"-")</f>
        <v/>
      </c>
    </row>
    <row r="13">
      <c r="B13" s="50" t="n">
        <v>10</v>
      </c>
      <c r="C13" s="50" t="n"/>
      <c r="D13" s="50">
        <f>if($C13="","-", COUNTA(indirect("'"&amp;$C13&amp;"'!G2:G1000")))</f>
        <v/>
      </c>
      <c r="E13" s="51">
        <f>if($C13="","-", countif(indirect("'"&amp;$C13&amp;"'!M2:M1000"),E$3))</f>
        <v/>
      </c>
      <c r="F13" s="51">
        <f>if($C13="","-", countif(indirect("'"&amp;$C13&amp;"'!M2:M1000"),F$3))</f>
        <v/>
      </c>
      <c r="G13" s="51">
        <f>if($C13="","-", countif(indirect("'"&amp;$C13&amp;"'!M2:M1000"),G$3))</f>
        <v/>
      </c>
      <c r="H13" s="51">
        <f>if($C13="","-", countif(indirect("'"&amp;$C13&amp;"'!Q2:Q1000"),H$3))</f>
        <v/>
      </c>
      <c r="I13" s="52">
        <f>iferror(H13/(F13+G13),"-")</f>
        <v/>
      </c>
    </row>
    <row r="14">
      <c r="B14" s="48" t="n">
        <v>11</v>
      </c>
      <c r="C14" s="50" t="n"/>
      <c r="D14" s="50">
        <f>if($C14="","-", COUNTA(indirect("'"&amp;$C14&amp;"'!G2:G1000")))</f>
        <v/>
      </c>
      <c r="E14" s="51">
        <f>if($C14="","-", countif(indirect("'"&amp;$C14&amp;"'!M2:M1000"),E$3))</f>
        <v/>
      </c>
      <c r="F14" s="51">
        <f>if($C14="","-", countif(indirect("'"&amp;$C14&amp;"'!M2:M1000"),F$3))</f>
        <v/>
      </c>
      <c r="G14" s="51">
        <f>if($C14="","-", countif(indirect("'"&amp;$C14&amp;"'!M2:M1000"),G$3))</f>
        <v/>
      </c>
      <c r="H14" s="51">
        <f>if($C14="","-", countif(indirect("'"&amp;$C14&amp;"'!Q2:Q1000"),H$3))</f>
        <v/>
      </c>
      <c r="I14" s="52">
        <f>iferror(H14/(F14+G14),"-")</f>
        <v/>
      </c>
    </row>
    <row r="15">
      <c r="B15" s="50" t="n">
        <v>12</v>
      </c>
      <c r="C15" s="50" t="n"/>
      <c r="D15" s="50">
        <f>if($C15="","-", COUNTA(indirect("'"&amp;$C15&amp;"'!G2:G1000")))</f>
        <v/>
      </c>
      <c r="E15" s="51">
        <f>if($C15="","-", countif(indirect("'"&amp;$C15&amp;"'!M2:M1000"),E$3))</f>
        <v/>
      </c>
      <c r="F15" s="51">
        <f>if($C15="","-", countif(indirect("'"&amp;$C15&amp;"'!M2:M1000"),F$3))</f>
        <v/>
      </c>
      <c r="G15" s="51">
        <f>if($C15="","-", countif(indirect("'"&amp;$C15&amp;"'!M2:M1000"),G$3))</f>
        <v/>
      </c>
      <c r="H15" s="51">
        <f>if($C15="","-", countif(indirect("'"&amp;$C15&amp;"'!Q2:Q1000"),H$3))</f>
        <v/>
      </c>
      <c r="I15" s="52">
        <f>iferror(H15/(F15+G15),"-")</f>
        <v/>
      </c>
    </row>
    <row r="16">
      <c r="B16" s="48" t="n">
        <v>13</v>
      </c>
      <c r="C16" s="50" t="n"/>
      <c r="D16" s="50">
        <f>if($C16="","-", COUNTA(indirect("'"&amp;$C16&amp;"'!G2:G1000")))</f>
        <v/>
      </c>
      <c r="E16" s="51">
        <f>if($C16="","-", countif(indirect("'"&amp;$C16&amp;"'!M2:M1000"),E$3))</f>
        <v/>
      </c>
      <c r="F16" s="51">
        <f>if($C16="","-", countif(indirect("'"&amp;$C16&amp;"'!M2:M1000"),F$3))</f>
        <v/>
      </c>
      <c r="G16" s="51">
        <f>if($C16="","-", countif(indirect("'"&amp;$C16&amp;"'!M2:M1000"),G$3))</f>
        <v/>
      </c>
      <c r="H16" s="51">
        <f>if($C16="","-", countif(indirect("'"&amp;$C16&amp;"'!Q2:Q1000"),H$3))</f>
        <v/>
      </c>
      <c r="I16" s="52">
        <f>iferror(H16/(F16+G16),"-")</f>
        <v/>
      </c>
    </row>
    <row r="17">
      <c r="B17" s="50" t="n">
        <v>14</v>
      </c>
      <c r="C17" s="50" t="n"/>
      <c r="D17" s="50">
        <f>if($C17="","-", COUNTA(indirect("'"&amp;$C17&amp;"'!G2:G1000")))</f>
        <v/>
      </c>
      <c r="E17" s="51">
        <f>if($C17="","-", countif(indirect("'"&amp;$C17&amp;"'!M2:M1000"),E$3))</f>
        <v/>
      </c>
      <c r="F17" s="51">
        <f>if($C17="","-", countif(indirect("'"&amp;$C17&amp;"'!M2:M1000"),F$3))</f>
        <v/>
      </c>
      <c r="G17" s="51">
        <f>if($C17="","-", countif(indirect("'"&amp;$C17&amp;"'!M2:M1000"),G$3))</f>
        <v/>
      </c>
      <c r="H17" s="51">
        <f>if($C17="","-", countif(indirect("'"&amp;$C17&amp;"'!Q2:Q1000"),H$3))</f>
        <v/>
      </c>
      <c r="I17" s="52">
        <f>iferror(H17/(F17+G17),"-")</f>
        <v/>
      </c>
    </row>
    <row r="18">
      <c r="B18" s="50" t="n"/>
      <c r="C18" s="50" t="inlineStr">
        <is>
          <t>Total</t>
        </is>
      </c>
      <c r="D18" s="50">
        <f>sum(D4:D17)</f>
        <v/>
      </c>
      <c r="E18" s="50">
        <f>sum(E4:E17)</f>
        <v/>
      </c>
      <c r="F18" s="50">
        <f>sum(F4:F17)</f>
        <v/>
      </c>
      <c r="G18" s="50">
        <f>sum(G4:G17)</f>
        <v/>
      </c>
      <c r="H18" s="50">
        <f>sum(H4:H17)</f>
        <v/>
      </c>
      <c r="I18" s="52">
        <f>iferror(H18/(F18+G18),"-")</f>
        <v/>
      </c>
    </row>
    <row r="19">
      <c r="B19" s="40" t="n"/>
      <c r="C19" s="40" t="n"/>
    </row>
    <row r="20">
      <c r="B20" s="40" t="n"/>
      <c r="C20" s="40" t="n"/>
    </row>
    <row r="21">
      <c r="B21" s="40" t="n"/>
      <c r="C21" s="40" t="n"/>
    </row>
    <row r="22">
      <c r="B22" s="40" t="n"/>
      <c r="C22" s="40" t="n"/>
    </row>
    <row r="23">
      <c r="B23" s="40" t="n"/>
      <c r="C23" s="40" t="n"/>
    </row>
    <row r="24">
      <c r="B24" s="40" t="n"/>
      <c r="C24" s="40" t="n"/>
    </row>
    <row r="25">
      <c r="B25" s="40" t="n"/>
      <c r="C25" s="40" t="n"/>
    </row>
    <row r="26">
      <c r="B26" s="40" t="n"/>
      <c r="C26" s="40" t="n"/>
    </row>
    <row r="27">
      <c r="B27" s="40" t="n"/>
      <c r="C27" s="40" t="n"/>
    </row>
    <row r="28">
      <c r="B28" s="40" t="n"/>
      <c r="C28" s="40" t="n"/>
    </row>
    <row r="29">
      <c r="B29" s="40" t="n"/>
      <c r="C29" s="40" t="n"/>
    </row>
    <row r="30">
      <c r="B30" s="40" t="n"/>
      <c r="C30" s="40" t="n"/>
    </row>
    <row r="31">
      <c r="B31" s="40" t="n"/>
      <c r="C31" s="40" t="n"/>
    </row>
    <row r="32">
      <c r="B32" s="40" t="n"/>
      <c r="C32" s="40" t="n"/>
    </row>
    <row r="33">
      <c r="B33" s="40" t="n"/>
      <c r="C33" s="40" t="n"/>
    </row>
    <row r="34">
      <c r="B34" s="40" t="n"/>
      <c r="C34" s="40" t="n"/>
    </row>
    <row r="35">
      <c r="B35" s="40" t="n"/>
      <c r="C35" s="40" t="n"/>
    </row>
    <row r="36">
      <c r="B36" s="40" t="n"/>
      <c r="C36" s="40" t="n"/>
    </row>
    <row r="37">
      <c r="B37" s="40" t="n"/>
      <c r="C37" s="40" t="n"/>
    </row>
    <row r="38">
      <c r="B38" s="40" t="n"/>
      <c r="C38" s="40" t="n"/>
    </row>
    <row r="39">
      <c r="B39" s="40" t="n"/>
      <c r="C39" s="40" t="n"/>
    </row>
    <row r="40">
      <c r="B40" s="40" t="n"/>
      <c r="C40" s="40" t="n"/>
    </row>
    <row r="41">
      <c r="B41" s="40" t="n"/>
      <c r="C41" s="40" t="n"/>
    </row>
    <row r="42">
      <c r="B42" s="40" t="n"/>
      <c r="C42" s="40" t="n"/>
    </row>
    <row r="43">
      <c r="B43" s="40" t="n"/>
      <c r="C43" s="40" t="n"/>
    </row>
    <row r="44">
      <c r="B44" s="40" t="n"/>
      <c r="C44" s="40" t="n"/>
    </row>
    <row r="45">
      <c r="B45" s="40" t="n"/>
      <c r="C45" s="40" t="n"/>
    </row>
    <row r="46">
      <c r="B46" s="40" t="n"/>
      <c r="C46" s="40" t="n"/>
    </row>
    <row r="47">
      <c r="B47" s="40" t="n"/>
      <c r="C47" s="40" t="n"/>
    </row>
    <row r="48">
      <c r="B48" s="40" t="n"/>
      <c r="C48" s="40" t="n"/>
    </row>
    <row r="49">
      <c r="B49" s="40" t="n"/>
      <c r="C49" s="40" t="n"/>
    </row>
    <row r="50">
      <c r="B50" s="40" t="n"/>
      <c r="C50" s="40" t="n"/>
    </row>
    <row r="51">
      <c r="B51" s="40" t="n"/>
      <c r="C51" s="40" t="n"/>
    </row>
    <row r="52">
      <c r="B52" s="40" t="n"/>
      <c r="C52" s="40" t="n"/>
    </row>
    <row r="53">
      <c r="B53" s="40" t="n"/>
      <c r="C53" s="40" t="n"/>
    </row>
    <row r="54">
      <c r="B54" s="40" t="n"/>
      <c r="C54" s="40" t="n"/>
    </row>
    <row r="55">
      <c r="B55" s="40" t="n"/>
      <c r="C55" s="40" t="n"/>
    </row>
    <row r="56">
      <c r="B56" s="40" t="n"/>
      <c r="C56" s="40" t="n"/>
    </row>
    <row r="57">
      <c r="B57" s="40" t="n"/>
      <c r="C57" s="40" t="n"/>
    </row>
    <row r="58">
      <c r="B58" s="40" t="n"/>
      <c r="C58" s="40" t="n"/>
    </row>
    <row r="59">
      <c r="B59" s="40" t="n"/>
      <c r="C59" s="40" t="n"/>
    </row>
    <row r="60">
      <c r="B60" s="40" t="n"/>
      <c r="C60" s="40" t="n"/>
    </row>
    <row r="61">
      <c r="B61" s="40" t="n"/>
      <c r="C61" s="40" t="n"/>
    </row>
    <row r="62">
      <c r="B62" s="40" t="n"/>
      <c r="C62" s="40" t="n"/>
    </row>
    <row r="63">
      <c r="B63" s="40" t="n"/>
      <c r="C63" s="40" t="n"/>
    </row>
    <row r="64">
      <c r="B64" s="40" t="n"/>
      <c r="C64" s="40" t="n"/>
    </row>
    <row r="65">
      <c r="B65" s="40" t="n"/>
      <c r="C65" s="40" t="n"/>
    </row>
    <row r="66">
      <c r="B66" s="40" t="n"/>
      <c r="C66" s="40" t="n"/>
    </row>
    <row r="67">
      <c r="B67" s="40" t="n"/>
      <c r="C67" s="40" t="n"/>
    </row>
    <row r="68">
      <c r="B68" s="40" t="n"/>
      <c r="C68" s="40" t="n"/>
    </row>
    <row r="69">
      <c r="B69" s="40" t="n"/>
      <c r="C69" s="40" t="n"/>
    </row>
    <row r="70">
      <c r="B70" s="40" t="n"/>
      <c r="C70" s="40" t="n"/>
    </row>
    <row r="71">
      <c r="B71" s="40" t="n"/>
      <c r="C71" s="40" t="n"/>
    </row>
    <row r="72">
      <c r="B72" s="40" t="n"/>
      <c r="C72" s="40" t="n"/>
    </row>
    <row r="73">
      <c r="B73" s="40" t="n"/>
      <c r="C73" s="40" t="n"/>
    </row>
    <row r="74">
      <c r="B74" s="40" t="n"/>
      <c r="C74" s="40" t="n"/>
    </row>
    <row r="75">
      <c r="B75" s="40" t="n"/>
      <c r="C75" s="40" t="n"/>
    </row>
    <row r="76">
      <c r="B76" s="40" t="n"/>
      <c r="C76" s="40" t="n"/>
    </row>
    <row r="77">
      <c r="B77" s="40" t="n"/>
      <c r="C77" s="40" t="n"/>
    </row>
    <row r="78">
      <c r="B78" s="40" t="n"/>
      <c r="C78" s="40" t="n"/>
    </row>
    <row r="79">
      <c r="B79" s="40" t="n"/>
      <c r="C79" s="40" t="n"/>
    </row>
    <row r="80">
      <c r="B80" s="40" t="n"/>
      <c r="C80" s="40" t="n"/>
    </row>
    <row r="81">
      <c r="B81" s="40" t="n"/>
      <c r="C81" s="40" t="n"/>
    </row>
    <row r="82">
      <c r="B82" s="40" t="n"/>
      <c r="C82" s="40" t="n"/>
    </row>
    <row r="83">
      <c r="B83" s="40" t="n"/>
      <c r="C83" s="40" t="n"/>
    </row>
    <row r="84">
      <c r="B84" s="40" t="n"/>
      <c r="C84" s="40" t="n"/>
    </row>
    <row r="85">
      <c r="B85" s="40" t="n"/>
      <c r="C85" s="40" t="n"/>
    </row>
    <row r="86">
      <c r="B86" s="40" t="n"/>
      <c r="C86" s="40" t="n"/>
    </row>
    <row r="87">
      <c r="B87" s="40" t="n"/>
      <c r="C87" s="40" t="n"/>
    </row>
    <row r="88">
      <c r="B88" s="40" t="n"/>
      <c r="C88" s="40" t="n"/>
    </row>
    <row r="89">
      <c r="B89" s="40" t="n"/>
      <c r="C89" s="40" t="n"/>
    </row>
    <row r="90">
      <c r="B90" s="40" t="n"/>
      <c r="C90" s="40" t="n"/>
    </row>
    <row r="91">
      <c r="B91" s="40" t="n"/>
      <c r="C91" s="40" t="n"/>
    </row>
    <row r="92">
      <c r="B92" s="40" t="n"/>
      <c r="C92" s="40" t="n"/>
    </row>
    <row r="93">
      <c r="B93" s="40" t="n"/>
      <c r="C93" s="40" t="n"/>
    </row>
    <row r="94">
      <c r="B94" s="40" t="n"/>
      <c r="C94" s="40" t="n"/>
    </row>
    <row r="95">
      <c r="B95" s="40" t="n"/>
      <c r="C95" s="40" t="n"/>
    </row>
    <row r="96">
      <c r="B96" s="40" t="n"/>
      <c r="C96" s="40" t="n"/>
    </row>
    <row r="97">
      <c r="B97" s="40" t="n"/>
      <c r="C97" s="40" t="n"/>
    </row>
    <row r="98">
      <c r="B98" s="40" t="n"/>
      <c r="C98" s="40" t="n"/>
    </row>
    <row r="99">
      <c r="B99" s="40" t="n"/>
      <c r="C99" s="40" t="n"/>
    </row>
    <row r="100">
      <c r="B100" s="40" t="n"/>
      <c r="C100" s="40" t="n"/>
    </row>
    <row r="101">
      <c r="B101" s="40" t="n"/>
      <c r="C101" s="40" t="n"/>
    </row>
    <row r="102">
      <c r="B102" s="40" t="n"/>
      <c r="C102" s="40" t="n"/>
    </row>
    <row r="103">
      <c r="B103" s="40" t="n"/>
      <c r="C103" s="40" t="n"/>
    </row>
    <row r="104">
      <c r="B104" s="40" t="n"/>
      <c r="C104" s="40" t="n"/>
    </row>
    <row r="105">
      <c r="B105" s="40" t="n"/>
      <c r="C105" s="40" t="n"/>
    </row>
    <row r="106">
      <c r="B106" s="40" t="n"/>
      <c r="C106" s="40" t="n"/>
    </row>
    <row r="107">
      <c r="B107" s="40" t="n"/>
      <c r="C107" s="40" t="n"/>
    </row>
    <row r="108">
      <c r="B108" s="40" t="n"/>
      <c r="C108" s="40" t="n"/>
    </row>
    <row r="109">
      <c r="B109" s="40" t="n"/>
      <c r="C109" s="40" t="n"/>
    </row>
    <row r="110">
      <c r="B110" s="40" t="n"/>
      <c r="C110" s="40" t="n"/>
    </row>
    <row r="111">
      <c r="B111" s="40" t="n"/>
      <c r="C111" s="40" t="n"/>
    </row>
    <row r="112">
      <c r="B112" s="40" t="n"/>
      <c r="C112" s="40" t="n"/>
    </row>
    <row r="113">
      <c r="B113" s="40" t="n"/>
      <c r="C113" s="40" t="n"/>
    </row>
    <row r="114">
      <c r="B114" s="40" t="n"/>
      <c r="C114" s="40" t="n"/>
    </row>
    <row r="115">
      <c r="B115" s="40" t="n"/>
      <c r="C115" s="40" t="n"/>
    </row>
    <row r="116">
      <c r="B116" s="40" t="n"/>
      <c r="C116" s="40" t="n"/>
    </row>
    <row r="117">
      <c r="B117" s="40" t="n"/>
      <c r="C117" s="40" t="n"/>
    </row>
    <row r="118">
      <c r="B118" s="40" t="n"/>
      <c r="C118" s="40" t="n"/>
    </row>
    <row r="119">
      <c r="B119" s="40" t="n"/>
      <c r="C119" s="40" t="n"/>
    </row>
    <row r="120">
      <c r="B120" s="40" t="n"/>
      <c r="C120" s="40" t="n"/>
    </row>
    <row r="121">
      <c r="B121" s="40" t="n"/>
      <c r="C121" s="40" t="n"/>
    </row>
    <row r="122">
      <c r="B122" s="40" t="n"/>
      <c r="C122" s="40" t="n"/>
    </row>
    <row r="123">
      <c r="B123" s="40" t="n"/>
      <c r="C123" s="40" t="n"/>
    </row>
    <row r="124">
      <c r="B124" s="40" t="n"/>
      <c r="C124" s="40" t="n"/>
    </row>
    <row r="125">
      <c r="B125" s="40" t="n"/>
      <c r="C125" s="40" t="n"/>
    </row>
    <row r="126">
      <c r="B126" s="40" t="n"/>
      <c r="C126" s="40" t="n"/>
    </row>
    <row r="127">
      <c r="B127" s="40" t="n"/>
      <c r="C127" s="40" t="n"/>
    </row>
    <row r="128">
      <c r="B128" s="40" t="n"/>
      <c r="C128" s="40" t="n"/>
    </row>
    <row r="129">
      <c r="B129" s="40" t="n"/>
      <c r="C129" s="40" t="n"/>
    </row>
    <row r="130">
      <c r="B130" s="40" t="n"/>
      <c r="C130" s="40" t="n"/>
    </row>
    <row r="131">
      <c r="B131" s="40" t="n"/>
      <c r="C131" s="40" t="n"/>
    </row>
    <row r="132">
      <c r="B132" s="40" t="n"/>
      <c r="C132" s="40" t="n"/>
    </row>
    <row r="133">
      <c r="B133" s="40" t="n"/>
      <c r="C133" s="40" t="n"/>
    </row>
    <row r="134">
      <c r="B134" s="40" t="n"/>
      <c r="C134" s="40" t="n"/>
    </row>
    <row r="135">
      <c r="B135" s="40" t="n"/>
      <c r="C135" s="40" t="n"/>
    </row>
    <row r="136">
      <c r="B136" s="40" t="n"/>
      <c r="C136" s="40" t="n"/>
    </row>
    <row r="137">
      <c r="B137" s="40" t="n"/>
      <c r="C137" s="40" t="n"/>
    </row>
    <row r="138">
      <c r="B138" s="40" t="n"/>
      <c r="C138" s="40" t="n"/>
    </row>
    <row r="139">
      <c r="B139" s="40" t="n"/>
      <c r="C139" s="40" t="n"/>
    </row>
    <row r="140">
      <c r="B140" s="40" t="n"/>
      <c r="C140" s="40" t="n"/>
    </row>
    <row r="141">
      <c r="B141" s="40" t="n"/>
      <c r="C141" s="40" t="n"/>
    </row>
    <row r="142">
      <c r="B142" s="40" t="n"/>
      <c r="C142" s="40" t="n"/>
    </row>
    <row r="143">
      <c r="B143" s="40" t="n"/>
      <c r="C143" s="40" t="n"/>
    </row>
    <row r="144">
      <c r="B144" s="40" t="n"/>
      <c r="C144" s="40" t="n"/>
    </row>
    <row r="145">
      <c r="B145" s="40" t="n"/>
      <c r="C145" s="40" t="n"/>
    </row>
    <row r="146">
      <c r="B146" s="40" t="n"/>
      <c r="C146" s="40" t="n"/>
    </row>
    <row r="147">
      <c r="B147" s="40" t="n"/>
      <c r="C147" s="40" t="n"/>
    </row>
    <row r="148">
      <c r="B148" s="40" t="n"/>
      <c r="C148" s="40" t="n"/>
    </row>
    <row r="149">
      <c r="B149" s="40" t="n"/>
      <c r="C149" s="40" t="n"/>
    </row>
    <row r="150">
      <c r="B150" s="40" t="n"/>
      <c r="C150" s="40" t="n"/>
    </row>
    <row r="151">
      <c r="B151" s="40" t="n"/>
      <c r="C151" s="40" t="n"/>
    </row>
    <row r="152">
      <c r="B152" s="40" t="n"/>
      <c r="C152" s="40" t="n"/>
    </row>
    <row r="153">
      <c r="B153" s="40" t="n"/>
      <c r="C153" s="40" t="n"/>
    </row>
    <row r="154">
      <c r="B154" s="40" t="n"/>
      <c r="C154" s="40" t="n"/>
    </row>
    <row r="155">
      <c r="B155" s="40" t="n"/>
      <c r="C155" s="40" t="n"/>
    </row>
    <row r="156">
      <c r="B156" s="40" t="n"/>
      <c r="C156" s="40" t="n"/>
    </row>
    <row r="157">
      <c r="B157" s="40" t="n"/>
      <c r="C157" s="40" t="n"/>
    </row>
    <row r="158">
      <c r="B158" s="40" t="n"/>
      <c r="C158" s="40" t="n"/>
    </row>
    <row r="159">
      <c r="B159" s="40" t="n"/>
      <c r="C159" s="40" t="n"/>
    </row>
    <row r="160">
      <c r="B160" s="40" t="n"/>
      <c r="C160" s="40" t="n"/>
    </row>
    <row r="161">
      <c r="B161" s="40" t="n"/>
      <c r="C161" s="40" t="n"/>
    </row>
    <row r="162">
      <c r="B162" s="40" t="n"/>
      <c r="C162" s="40" t="n"/>
    </row>
    <row r="163">
      <c r="B163" s="40" t="n"/>
      <c r="C163" s="40" t="n"/>
    </row>
    <row r="164">
      <c r="B164" s="40" t="n"/>
      <c r="C164" s="40" t="n"/>
    </row>
    <row r="165">
      <c r="B165" s="40" t="n"/>
      <c r="C165" s="40" t="n"/>
    </row>
    <row r="166">
      <c r="B166" s="40" t="n"/>
      <c r="C166" s="40" t="n"/>
    </row>
    <row r="167">
      <c r="B167" s="40" t="n"/>
      <c r="C167" s="40" t="n"/>
    </row>
    <row r="168">
      <c r="B168" s="40" t="n"/>
      <c r="C168" s="40" t="n"/>
    </row>
    <row r="169">
      <c r="B169" s="40" t="n"/>
      <c r="C169" s="40" t="n"/>
    </row>
    <row r="170">
      <c r="B170" s="40" t="n"/>
      <c r="C170" s="40" t="n"/>
    </row>
    <row r="171">
      <c r="B171" s="40" t="n"/>
      <c r="C171" s="40" t="n"/>
    </row>
    <row r="172">
      <c r="B172" s="40" t="n"/>
      <c r="C172" s="40" t="n"/>
    </row>
    <row r="173">
      <c r="B173" s="40" t="n"/>
      <c r="C173" s="40" t="n"/>
    </row>
    <row r="174">
      <c r="B174" s="40" t="n"/>
      <c r="C174" s="40" t="n"/>
    </row>
    <row r="175">
      <c r="B175" s="40" t="n"/>
      <c r="C175" s="40" t="n"/>
    </row>
    <row r="176">
      <c r="B176" s="40" t="n"/>
      <c r="C176" s="40" t="n"/>
    </row>
    <row r="177">
      <c r="B177" s="40" t="n"/>
      <c r="C177" s="40" t="n"/>
    </row>
    <row r="178">
      <c r="B178" s="40" t="n"/>
      <c r="C178" s="40" t="n"/>
    </row>
    <row r="179">
      <c r="B179" s="40" t="n"/>
      <c r="C179" s="40" t="n"/>
    </row>
    <row r="180">
      <c r="B180" s="40" t="n"/>
      <c r="C180" s="40" t="n"/>
    </row>
    <row r="181">
      <c r="B181" s="40" t="n"/>
      <c r="C181" s="40" t="n"/>
    </row>
    <row r="182">
      <c r="B182" s="40" t="n"/>
      <c r="C182" s="40" t="n"/>
    </row>
    <row r="183">
      <c r="B183" s="40" t="n"/>
      <c r="C183" s="40" t="n"/>
    </row>
    <row r="184">
      <c r="B184" s="40" t="n"/>
      <c r="C184" s="40" t="n"/>
    </row>
    <row r="185">
      <c r="B185" s="40" t="n"/>
      <c r="C185" s="40" t="n"/>
    </row>
    <row r="186">
      <c r="B186" s="40" t="n"/>
      <c r="C186" s="40" t="n"/>
    </row>
    <row r="187">
      <c r="B187" s="40" t="n"/>
      <c r="C187" s="40" t="n"/>
    </row>
    <row r="188">
      <c r="B188" s="40" t="n"/>
      <c r="C188" s="40" t="n"/>
    </row>
    <row r="189">
      <c r="B189" s="40" t="n"/>
      <c r="C189" s="40" t="n"/>
    </row>
    <row r="190">
      <c r="B190" s="40" t="n"/>
      <c r="C190" s="40" t="n"/>
    </row>
    <row r="191">
      <c r="B191" s="40" t="n"/>
      <c r="C191" s="40" t="n"/>
    </row>
    <row r="192">
      <c r="B192" s="40" t="n"/>
      <c r="C192" s="40" t="n"/>
    </row>
    <row r="193">
      <c r="B193" s="40" t="n"/>
      <c r="C193" s="40" t="n"/>
    </row>
    <row r="194">
      <c r="B194" s="40" t="n"/>
      <c r="C194" s="40" t="n"/>
    </row>
    <row r="195">
      <c r="B195" s="40" t="n"/>
      <c r="C195" s="40" t="n"/>
    </row>
    <row r="196">
      <c r="B196" s="40" t="n"/>
      <c r="C196" s="40" t="n"/>
    </row>
    <row r="197">
      <c r="B197" s="40" t="n"/>
      <c r="C197" s="40" t="n"/>
    </row>
    <row r="198">
      <c r="B198" s="40" t="n"/>
      <c r="C198" s="40" t="n"/>
    </row>
    <row r="199">
      <c r="B199" s="40" t="n"/>
      <c r="C199" s="40" t="n"/>
    </row>
    <row r="200">
      <c r="B200" s="40" t="n"/>
      <c r="C200" s="40" t="n"/>
    </row>
    <row r="201">
      <c r="B201" s="40" t="n"/>
      <c r="C201" s="40" t="n"/>
    </row>
    <row r="202">
      <c r="B202" s="40" t="n"/>
      <c r="C202" s="40" t="n"/>
    </row>
    <row r="203">
      <c r="B203" s="40" t="n"/>
      <c r="C203" s="40" t="n"/>
    </row>
    <row r="204">
      <c r="B204" s="40" t="n"/>
      <c r="C204" s="40" t="n"/>
    </row>
    <row r="205">
      <c r="B205" s="40" t="n"/>
      <c r="C205" s="40" t="n"/>
    </row>
    <row r="206">
      <c r="B206" s="40" t="n"/>
      <c r="C206" s="40" t="n"/>
    </row>
    <row r="207">
      <c r="B207" s="40" t="n"/>
      <c r="C207" s="40" t="n"/>
    </row>
    <row r="208">
      <c r="B208" s="40" t="n"/>
      <c r="C208" s="40" t="n"/>
    </row>
    <row r="209">
      <c r="B209" s="40" t="n"/>
      <c r="C209" s="40" t="n"/>
    </row>
    <row r="210">
      <c r="B210" s="40" t="n"/>
      <c r="C210" s="40" t="n"/>
    </row>
    <row r="211">
      <c r="B211" s="40" t="n"/>
      <c r="C211" s="40" t="n"/>
    </row>
    <row r="212">
      <c r="B212" s="40" t="n"/>
      <c r="C212" s="40" t="n"/>
    </row>
    <row r="213">
      <c r="B213" s="40" t="n"/>
      <c r="C213" s="40" t="n"/>
    </row>
    <row r="214">
      <c r="B214" s="40" t="n"/>
      <c r="C214" s="40" t="n"/>
    </row>
    <row r="215">
      <c r="B215" s="40" t="n"/>
      <c r="C215" s="40" t="n"/>
    </row>
    <row r="216">
      <c r="B216" s="40" t="n"/>
      <c r="C216" s="40" t="n"/>
    </row>
    <row r="217">
      <c r="B217" s="40" t="n"/>
      <c r="C217" s="40" t="n"/>
    </row>
    <row r="218">
      <c r="B218" s="40" t="n"/>
      <c r="C218" s="40" t="n"/>
    </row>
    <row r="219">
      <c r="B219" s="40" t="n"/>
      <c r="C219" s="40" t="n"/>
    </row>
    <row r="220">
      <c r="B220" s="40" t="n"/>
      <c r="C220" s="40" t="n"/>
    </row>
    <row r="221">
      <c r="B221" s="40" t="n"/>
      <c r="C221" s="40" t="n"/>
    </row>
    <row r="222">
      <c r="B222" s="40" t="n"/>
      <c r="C222" s="40" t="n"/>
    </row>
    <row r="223">
      <c r="B223" s="40" t="n"/>
      <c r="C223" s="40" t="n"/>
    </row>
    <row r="224">
      <c r="B224" s="40" t="n"/>
      <c r="C224" s="40" t="n"/>
    </row>
    <row r="225">
      <c r="B225" s="40" t="n"/>
      <c r="C225" s="40" t="n"/>
    </row>
    <row r="226">
      <c r="B226" s="40" t="n"/>
      <c r="C226" s="40" t="n"/>
    </row>
    <row r="227">
      <c r="B227" s="40" t="n"/>
      <c r="C227" s="40" t="n"/>
    </row>
    <row r="228">
      <c r="B228" s="40" t="n"/>
      <c r="C228" s="40" t="n"/>
    </row>
    <row r="229">
      <c r="B229" s="40" t="n"/>
      <c r="C229" s="40" t="n"/>
    </row>
    <row r="230">
      <c r="B230" s="40" t="n"/>
      <c r="C230" s="40" t="n"/>
    </row>
    <row r="231">
      <c r="B231" s="40" t="n"/>
      <c r="C231" s="40" t="n"/>
    </row>
    <row r="232">
      <c r="B232" s="40" t="n"/>
      <c r="C232" s="40" t="n"/>
    </row>
    <row r="233">
      <c r="B233" s="40" t="n"/>
      <c r="C233" s="40" t="n"/>
    </row>
    <row r="234">
      <c r="B234" s="40" t="n"/>
      <c r="C234" s="40" t="n"/>
    </row>
    <row r="235">
      <c r="B235" s="40" t="n"/>
      <c r="C235" s="40" t="n"/>
    </row>
    <row r="236">
      <c r="B236" s="40" t="n"/>
      <c r="C236" s="40" t="n"/>
    </row>
    <row r="237">
      <c r="B237" s="40" t="n"/>
      <c r="C237" s="40" t="n"/>
    </row>
    <row r="238">
      <c r="B238" s="40" t="n"/>
      <c r="C238" s="40" t="n"/>
    </row>
    <row r="239">
      <c r="B239" s="40" t="n"/>
      <c r="C239" s="40" t="n"/>
    </row>
    <row r="240">
      <c r="B240" s="40" t="n"/>
      <c r="C240" s="40" t="n"/>
    </row>
    <row r="241">
      <c r="B241" s="40" t="n"/>
      <c r="C241" s="40" t="n"/>
    </row>
    <row r="242">
      <c r="B242" s="40" t="n"/>
      <c r="C242" s="40" t="n"/>
    </row>
    <row r="243">
      <c r="B243" s="40" t="n"/>
      <c r="C243" s="40" t="n"/>
    </row>
    <row r="244">
      <c r="B244" s="40" t="n"/>
      <c r="C244" s="40" t="n"/>
    </row>
    <row r="245">
      <c r="B245" s="40" t="n"/>
      <c r="C245" s="40" t="n"/>
    </row>
    <row r="246">
      <c r="B246" s="40" t="n"/>
      <c r="C246" s="40" t="n"/>
    </row>
    <row r="247">
      <c r="B247" s="40" t="n"/>
      <c r="C247" s="40" t="n"/>
    </row>
    <row r="248">
      <c r="B248" s="40" t="n"/>
      <c r="C248" s="40" t="n"/>
    </row>
    <row r="249">
      <c r="B249" s="40" t="n"/>
      <c r="C249" s="40" t="n"/>
    </row>
    <row r="250">
      <c r="B250" s="40" t="n"/>
      <c r="C250" s="40" t="n"/>
    </row>
    <row r="251">
      <c r="B251" s="40" t="n"/>
      <c r="C251" s="40" t="n"/>
    </row>
    <row r="252">
      <c r="B252" s="40" t="n"/>
      <c r="C252" s="40" t="n"/>
    </row>
    <row r="253">
      <c r="B253" s="40" t="n"/>
      <c r="C253" s="40" t="n"/>
    </row>
    <row r="254">
      <c r="B254" s="40" t="n"/>
      <c r="C254" s="40" t="n"/>
    </row>
    <row r="255">
      <c r="B255" s="40" t="n"/>
      <c r="C255" s="40" t="n"/>
    </row>
    <row r="256">
      <c r="B256" s="40" t="n"/>
      <c r="C256" s="40" t="n"/>
    </row>
    <row r="257">
      <c r="B257" s="40" t="n"/>
      <c r="C257" s="40" t="n"/>
    </row>
    <row r="258">
      <c r="B258" s="40" t="n"/>
      <c r="C258" s="40" t="n"/>
    </row>
    <row r="259">
      <c r="B259" s="40" t="n"/>
      <c r="C259" s="40" t="n"/>
    </row>
    <row r="260">
      <c r="B260" s="40" t="n"/>
      <c r="C260" s="40" t="n"/>
    </row>
    <row r="261">
      <c r="B261" s="40" t="n"/>
      <c r="C261" s="40" t="n"/>
    </row>
    <row r="262">
      <c r="B262" s="40" t="n"/>
      <c r="C262" s="40" t="n"/>
    </row>
    <row r="263">
      <c r="B263" s="40" t="n"/>
      <c r="C263" s="40" t="n"/>
    </row>
    <row r="264">
      <c r="B264" s="40" t="n"/>
      <c r="C264" s="40" t="n"/>
    </row>
    <row r="265">
      <c r="B265" s="40" t="n"/>
      <c r="C265" s="40" t="n"/>
    </row>
    <row r="266">
      <c r="B266" s="40" t="n"/>
      <c r="C266" s="40" t="n"/>
    </row>
    <row r="267">
      <c r="B267" s="40" t="n"/>
      <c r="C267" s="40" t="n"/>
    </row>
    <row r="268">
      <c r="B268" s="40" t="n"/>
      <c r="C268" s="40" t="n"/>
    </row>
    <row r="269">
      <c r="B269" s="40" t="n"/>
      <c r="C269" s="40" t="n"/>
    </row>
    <row r="270">
      <c r="B270" s="40" t="n"/>
      <c r="C270" s="40" t="n"/>
    </row>
    <row r="271">
      <c r="B271" s="40" t="n"/>
      <c r="C271" s="40" t="n"/>
    </row>
    <row r="272">
      <c r="B272" s="40" t="n"/>
      <c r="C272" s="40" t="n"/>
    </row>
    <row r="273">
      <c r="B273" s="40" t="n"/>
      <c r="C273" s="40" t="n"/>
    </row>
    <row r="274">
      <c r="B274" s="40" t="n"/>
      <c r="C274" s="40" t="n"/>
    </row>
    <row r="275">
      <c r="B275" s="40" t="n"/>
      <c r="C275" s="40" t="n"/>
    </row>
    <row r="276">
      <c r="B276" s="40" t="n"/>
      <c r="C276" s="40" t="n"/>
    </row>
    <row r="277">
      <c r="B277" s="40" t="n"/>
      <c r="C277" s="40" t="n"/>
    </row>
    <row r="278">
      <c r="B278" s="40" t="n"/>
      <c r="C278" s="40" t="n"/>
    </row>
    <row r="279">
      <c r="B279" s="40" t="n"/>
      <c r="C279" s="40" t="n"/>
    </row>
    <row r="280">
      <c r="B280" s="40" t="n"/>
      <c r="C280" s="40" t="n"/>
    </row>
    <row r="281">
      <c r="B281" s="40" t="n"/>
      <c r="C281" s="40" t="n"/>
    </row>
    <row r="282">
      <c r="B282" s="40" t="n"/>
      <c r="C282" s="40" t="n"/>
    </row>
    <row r="283">
      <c r="B283" s="40" t="n"/>
      <c r="C283" s="40" t="n"/>
    </row>
    <row r="284">
      <c r="B284" s="40" t="n"/>
      <c r="C284" s="40" t="n"/>
    </row>
    <row r="285">
      <c r="B285" s="40" t="n"/>
      <c r="C285" s="40" t="n"/>
    </row>
    <row r="286">
      <c r="B286" s="40" t="n"/>
      <c r="C286" s="40" t="n"/>
    </row>
    <row r="287">
      <c r="B287" s="40" t="n"/>
      <c r="C287" s="40" t="n"/>
    </row>
    <row r="288">
      <c r="B288" s="40" t="n"/>
      <c r="C288" s="40" t="n"/>
    </row>
    <row r="289">
      <c r="B289" s="40" t="n"/>
      <c r="C289" s="40" t="n"/>
    </row>
    <row r="290">
      <c r="B290" s="40" t="n"/>
      <c r="C290" s="40" t="n"/>
    </row>
    <row r="291">
      <c r="B291" s="40" t="n"/>
      <c r="C291" s="40" t="n"/>
    </row>
    <row r="292">
      <c r="B292" s="40" t="n"/>
      <c r="C292" s="40" t="n"/>
    </row>
    <row r="293">
      <c r="B293" s="40" t="n"/>
      <c r="C293" s="40" t="n"/>
    </row>
    <row r="294">
      <c r="B294" s="40" t="n"/>
      <c r="C294" s="40" t="n"/>
    </row>
    <row r="295">
      <c r="B295" s="40" t="n"/>
      <c r="C295" s="40" t="n"/>
    </row>
    <row r="296">
      <c r="B296" s="40" t="n"/>
      <c r="C296" s="40" t="n"/>
    </row>
    <row r="297">
      <c r="B297" s="40" t="n"/>
      <c r="C297" s="40" t="n"/>
    </row>
    <row r="298">
      <c r="B298" s="40" t="n"/>
      <c r="C298" s="40" t="n"/>
    </row>
    <row r="299">
      <c r="B299" s="40" t="n"/>
      <c r="C299" s="40" t="n"/>
    </row>
    <row r="300">
      <c r="B300" s="40" t="n"/>
      <c r="C300" s="40" t="n"/>
    </row>
    <row r="301">
      <c r="B301" s="40" t="n"/>
      <c r="C301" s="40" t="n"/>
    </row>
    <row r="302">
      <c r="B302" s="40" t="n"/>
      <c r="C302" s="40" t="n"/>
    </row>
    <row r="303">
      <c r="B303" s="40" t="n"/>
      <c r="C303" s="40" t="n"/>
    </row>
    <row r="304">
      <c r="B304" s="40" t="n"/>
      <c r="C304" s="40" t="n"/>
    </row>
    <row r="305">
      <c r="B305" s="40" t="n"/>
      <c r="C305" s="40" t="n"/>
    </row>
    <row r="306">
      <c r="B306" s="40" t="n"/>
      <c r="C306" s="40" t="n"/>
    </row>
    <row r="307">
      <c r="B307" s="40" t="n"/>
      <c r="C307" s="40" t="n"/>
    </row>
    <row r="308">
      <c r="B308" s="40" t="n"/>
      <c r="C308" s="40" t="n"/>
    </row>
    <row r="309">
      <c r="B309" s="40" t="n"/>
      <c r="C309" s="40" t="n"/>
    </row>
    <row r="310">
      <c r="B310" s="40" t="n"/>
      <c r="C310" s="40" t="n"/>
    </row>
    <row r="311">
      <c r="B311" s="40" t="n"/>
      <c r="C311" s="40" t="n"/>
    </row>
    <row r="312">
      <c r="B312" s="40" t="n"/>
      <c r="C312" s="40" t="n"/>
    </row>
    <row r="313">
      <c r="B313" s="40" t="n"/>
      <c r="C313" s="40" t="n"/>
    </row>
    <row r="314">
      <c r="B314" s="40" t="n"/>
      <c r="C314" s="40" t="n"/>
    </row>
    <row r="315">
      <c r="B315" s="40" t="n"/>
      <c r="C315" s="40" t="n"/>
    </row>
    <row r="316">
      <c r="B316" s="40" t="n"/>
      <c r="C316" s="40" t="n"/>
    </row>
    <row r="317">
      <c r="B317" s="40" t="n"/>
      <c r="C317" s="40" t="n"/>
    </row>
    <row r="318">
      <c r="B318" s="40" t="n"/>
      <c r="C318" s="40" t="n"/>
    </row>
    <row r="319">
      <c r="B319" s="40" t="n"/>
      <c r="C319" s="40" t="n"/>
    </row>
    <row r="320">
      <c r="B320" s="40" t="n"/>
      <c r="C320" s="40" t="n"/>
    </row>
    <row r="321">
      <c r="B321" s="40" t="n"/>
      <c r="C321" s="40" t="n"/>
    </row>
    <row r="322">
      <c r="B322" s="40" t="n"/>
      <c r="C322" s="40" t="n"/>
    </row>
    <row r="323">
      <c r="B323" s="40" t="n"/>
      <c r="C323" s="40" t="n"/>
    </row>
    <row r="324">
      <c r="B324" s="40" t="n"/>
      <c r="C324" s="40" t="n"/>
    </row>
    <row r="325">
      <c r="B325" s="40" t="n"/>
      <c r="C325" s="40" t="n"/>
    </row>
    <row r="326">
      <c r="B326" s="40" t="n"/>
      <c r="C326" s="40" t="n"/>
    </row>
    <row r="327">
      <c r="B327" s="40" t="n"/>
      <c r="C327" s="40" t="n"/>
    </row>
    <row r="328">
      <c r="B328" s="40" t="n"/>
      <c r="C328" s="40" t="n"/>
    </row>
    <row r="329">
      <c r="B329" s="40" t="n"/>
      <c r="C329" s="40" t="n"/>
    </row>
    <row r="330">
      <c r="B330" s="40" t="n"/>
      <c r="C330" s="40" t="n"/>
    </row>
    <row r="331">
      <c r="B331" s="40" t="n"/>
      <c r="C331" s="40" t="n"/>
    </row>
    <row r="332">
      <c r="B332" s="40" t="n"/>
      <c r="C332" s="40" t="n"/>
    </row>
    <row r="333">
      <c r="B333" s="40" t="n"/>
      <c r="C333" s="40" t="n"/>
    </row>
    <row r="334">
      <c r="B334" s="40" t="n"/>
      <c r="C334" s="40" t="n"/>
    </row>
    <row r="335">
      <c r="B335" s="40" t="n"/>
      <c r="C335" s="40" t="n"/>
    </row>
    <row r="336">
      <c r="B336" s="40" t="n"/>
      <c r="C336" s="40" t="n"/>
    </row>
    <row r="337">
      <c r="B337" s="40" t="n"/>
      <c r="C337" s="40" t="n"/>
    </row>
    <row r="338">
      <c r="B338" s="40" t="n"/>
      <c r="C338" s="40" t="n"/>
    </row>
    <row r="339">
      <c r="B339" s="40" t="n"/>
      <c r="C339" s="40" t="n"/>
    </row>
    <row r="340">
      <c r="B340" s="40" t="n"/>
      <c r="C340" s="40" t="n"/>
    </row>
    <row r="341">
      <c r="B341" s="40" t="n"/>
      <c r="C341" s="40" t="n"/>
    </row>
    <row r="342">
      <c r="B342" s="40" t="n"/>
      <c r="C342" s="40" t="n"/>
    </row>
    <row r="343">
      <c r="B343" s="40" t="n"/>
      <c r="C343" s="40" t="n"/>
    </row>
    <row r="344">
      <c r="B344" s="40" t="n"/>
      <c r="C344" s="40" t="n"/>
    </row>
    <row r="345">
      <c r="B345" s="40" t="n"/>
      <c r="C345" s="40" t="n"/>
    </row>
    <row r="346">
      <c r="B346" s="40" t="n"/>
      <c r="C346" s="40" t="n"/>
    </row>
    <row r="347">
      <c r="B347" s="40" t="n"/>
      <c r="C347" s="40" t="n"/>
    </row>
    <row r="348">
      <c r="B348" s="40" t="n"/>
      <c r="C348" s="40" t="n"/>
    </row>
    <row r="349">
      <c r="B349" s="40" t="n"/>
      <c r="C349" s="40" t="n"/>
    </row>
    <row r="350">
      <c r="B350" s="40" t="n"/>
      <c r="C350" s="40" t="n"/>
    </row>
    <row r="351">
      <c r="B351" s="40" t="n"/>
      <c r="C351" s="40" t="n"/>
    </row>
    <row r="352">
      <c r="B352" s="40" t="n"/>
      <c r="C352" s="40" t="n"/>
    </row>
    <row r="353">
      <c r="B353" s="40" t="n"/>
      <c r="C353" s="40" t="n"/>
    </row>
    <row r="354">
      <c r="B354" s="40" t="n"/>
      <c r="C354" s="40" t="n"/>
    </row>
    <row r="355">
      <c r="B355" s="40" t="n"/>
      <c r="C355" s="40" t="n"/>
    </row>
    <row r="356">
      <c r="B356" s="40" t="n"/>
      <c r="C356" s="40" t="n"/>
    </row>
    <row r="357">
      <c r="B357" s="40" t="n"/>
      <c r="C357" s="40" t="n"/>
    </row>
    <row r="358">
      <c r="B358" s="40" t="n"/>
      <c r="C358" s="40" t="n"/>
    </row>
    <row r="359">
      <c r="B359" s="40" t="n"/>
      <c r="C359" s="40" t="n"/>
    </row>
    <row r="360">
      <c r="B360" s="40" t="n"/>
      <c r="C360" s="40" t="n"/>
    </row>
    <row r="361">
      <c r="B361" s="40" t="n"/>
      <c r="C361" s="40" t="n"/>
    </row>
    <row r="362">
      <c r="B362" s="40" t="n"/>
      <c r="C362" s="40" t="n"/>
    </row>
    <row r="363">
      <c r="B363" s="40" t="n"/>
      <c r="C363" s="40" t="n"/>
    </row>
    <row r="364">
      <c r="B364" s="40" t="n"/>
      <c r="C364" s="40" t="n"/>
    </row>
    <row r="365">
      <c r="B365" s="40" t="n"/>
      <c r="C365" s="40" t="n"/>
    </row>
    <row r="366">
      <c r="B366" s="40" t="n"/>
      <c r="C366" s="40" t="n"/>
    </row>
    <row r="367">
      <c r="B367" s="40" t="n"/>
      <c r="C367" s="40" t="n"/>
    </row>
    <row r="368">
      <c r="B368" s="40" t="n"/>
      <c r="C368" s="40" t="n"/>
    </row>
    <row r="369">
      <c r="B369" s="40" t="n"/>
      <c r="C369" s="40" t="n"/>
    </row>
    <row r="370">
      <c r="B370" s="40" t="n"/>
      <c r="C370" s="40" t="n"/>
    </row>
    <row r="371">
      <c r="B371" s="40" t="n"/>
      <c r="C371" s="40" t="n"/>
    </row>
    <row r="372">
      <c r="B372" s="40" t="n"/>
      <c r="C372" s="40" t="n"/>
    </row>
    <row r="373">
      <c r="B373" s="40" t="n"/>
      <c r="C373" s="40" t="n"/>
    </row>
    <row r="374">
      <c r="B374" s="40" t="n"/>
      <c r="C374" s="40" t="n"/>
    </row>
    <row r="375">
      <c r="B375" s="40" t="n"/>
      <c r="C375" s="40" t="n"/>
    </row>
    <row r="376">
      <c r="B376" s="40" t="n"/>
      <c r="C376" s="40" t="n"/>
    </row>
    <row r="377">
      <c r="B377" s="40" t="n"/>
      <c r="C377" s="40" t="n"/>
    </row>
    <row r="378">
      <c r="B378" s="40" t="n"/>
      <c r="C378" s="40" t="n"/>
    </row>
    <row r="379">
      <c r="B379" s="40" t="n"/>
      <c r="C379" s="40" t="n"/>
    </row>
    <row r="380">
      <c r="B380" s="40" t="n"/>
      <c r="C380" s="40" t="n"/>
    </row>
    <row r="381">
      <c r="B381" s="40" t="n"/>
      <c r="C381" s="40" t="n"/>
    </row>
    <row r="382">
      <c r="B382" s="40" t="n"/>
      <c r="C382" s="40" t="n"/>
    </row>
    <row r="383">
      <c r="B383" s="40" t="n"/>
      <c r="C383" s="40" t="n"/>
    </row>
    <row r="384">
      <c r="B384" s="40" t="n"/>
      <c r="C384" s="40" t="n"/>
    </row>
    <row r="385">
      <c r="B385" s="40" t="n"/>
      <c r="C385" s="40" t="n"/>
    </row>
    <row r="386">
      <c r="B386" s="40" t="n"/>
      <c r="C386" s="40" t="n"/>
    </row>
    <row r="387">
      <c r="B387" s="40" t="n"/>
      <c r="C387" s="40" t="n"/>
    </row>
    <row r="388">
      <c r="B388" s="40" t="n"/>
      <c r="C388" s="40" t="n"/>
    </row>
    <row r="389">
      <c r="B389" s="40" t="n"/>
      <c r="C389" s="40" t="n"/>
    </row>
    <row r="390">
      <c r="B390" s="40" t="n"/>
      <c r="C390" s="40" t="n"/>
    </row>
    <row r="391">
      <c r="B391" s="40" t="n"/>
      <c r="C391" s="40" t="n"/>
    </row>
    <row r="392">
      <c r="B392" s="40" t="n"/>
      <c r="C392" s="40" t="n"/>
    </row>
    <row r="393">
      <c r="B393" s="40" t="n"/>
      <c r="C393" s="40" t="n"/>
    </row>
    <row r="394">
      <c r="B394" s="40" t="n"/>
      <c r="C394" s="40" t="n"/>
    </row>
    <row r="395">
      <c r="B395" s="40" t="n"/>
      <c r="C395" s="40" t="n"/>
    </row>
    <row r="396">
      <c r="B396" s="40" t="n"/>
      <c r="C396" s="40" t="n"/>
    </row>
    <row r="397">
      <c r="B397" s="40" t="n"/>
      <c r="C397" s="40" t="n"/>
    </row>
    <row r="398">
      <c r="B398" s="40" t="n"/>
      <c r="C398" s="40" t="n"/>
    </row>
    <row r="399">
      <c r="B399" s="40" t="n"/>
      <c r="C399" s="40" t="n"/>
    </row>
    <row r="400">
      <c r="B400" s="40" t="n"/>
      <c r="C400" s="40" t="n"/>
    </row>
    <row r="401">
      <c r="B401" s="40" t="n"/>
      <c r="C401" s="40" t="n"/>
    </row>
    <row r="402">
      <c r="B402" s="40" t="n"/>
      <c r="C402" s="40" t="n"/>
    </row>
    <row r="403">
      <c r="B403" s="40" t="n"/>
      <c r="C403" s="40" t="n"/>
    </row>
    <row r="404">
      <c r="B404" s="40" t="n"/>
      <c r="C404" s="40" t="n"/>
    </row>
    <row r="405">
      <c r="B405" s="40" t="n"/>
      <c r="C405" s="40" t="n"/>
    </row>
    <row r="406">
      <c r="B406" s="40" t="n"/>
      <c r="C406" s="40" t="n"/>
    </row>
    <row r="407">
      <c r="B407" s="40" t="n"/>
      <c r="C407" s="40" t="n"/>
    </row>
    <row r="408">
      <c r="B408" s="40" t="n"/>
      <c r="C408" s="40" t="n"/>
    </row>
    <row r="409">
      <c r="B409" s="40" t="n"/>
      <c r="C409" s="40" t="n"/>
    </row>
    <row r="410">
      <c r="B410" s="40" t="n"/>
      <c r="C410" s="40" t="n"/>
    </row>
    <row r="411">
      <c r="B411" s="40" t="n"/>
      <c r="C411" s="40" t="n"/>
    </row>
    <row r="412">
      <c r="B412" s="40" t="n"/>
      <c r="C412" s="40" t="n"/>
    </row>
    <row r="413">
      <c r="B413" s="40" t="n"/>
      <c r="C413" s="40" t="n"/>
    </row>
    <row r="414">
      <c r="B414" s="40" t="n"/>
      <c r="C414" s="40" t="n"/>
    </row>
    <row r="415">
      <c r="B415" s="40" t="n"/>
      <c r="C415" s="40" t="n"/>
    </row>
    <row r="416">
      <c r="B416" s="40" t="n"/>
      <c r="C416" s="40" t="n"/>
    </row>
    <row r="417">
      <c r="B417" s="40" t="n"/>
      <c r="C417" s="40" t="n"/>
    </row>
    <row r="418">
      <c r="B418" s="40" t="n"/>
      <c r="C418" s="40" t="n"/>
    </row>
    <row r="419">
      <c r="B419" s="40" t="n"/>
      <c r="C419" s="40" t="n"/>
    </row>
    <row r="420">
      <c r="B420" s="40" t="n"/>
      <c r="C420" s="40" t="n"/>
    </row>
    <row r="421">
      <c r="B421" s="40" t="n"/>
      <c r="C421" s="40" t="n"/>
    </row>
    <row r="422">
      <c r="B422" s="40" t="n"/>
      <c r="C422" s="40" t="n"/>
    </row>
    <row r="423">
      <c r="B423" s="40" t="n"/>
      <c r="C423" s="40" t="n"/>
    </row>
    <row r="424">
      <c r="B424" s="40" t="n"/>
      <c r="C424" s="40" t="n"/>
    </row>
    <row r="425">
      <c r="B425" s="40" t="n"/>
      <c r="C425" s="40" t="n"/>
    </row>
    <row r="426">
      <c r="B426" s="40" t="n"/>
      <c r="C426" s="40" t="n"/>
    </row>
    <row r="427">
      <c r="B427" s="40" t="n"/>
      <c r="C427" s="40" t="n"/>
    </row>
    <row r="428">
      <c r="B428" s="40" t="n"/>
      <c r="C428" s="40" t="n"/>
    </row>
    <row r="429">
      <c r="B429" s="40" t="n"/>
      <c r="C429" s="40" t="n"/>
    </row>
    <row r="430">
      <c r="B430" s="40" t="n"/>
      <c r="C430" s="40" t="n"/>
    </row>
    <row r="431">
      <c r="B431" s="40" t="n"/>
      <c r="C431" s="40" t="n"/>
    </row>
    <row r="432">
      <c r="B432" s="40" t="n"/>
      <c r="C432" s="40" t="n"/>
    </row>
    <row r="433">
      <c r="B433" s="40" t="n"/>
      <c r="C433" s="40" t="n"/>
    </row>
    <row r="434">
      <c r="B434" s="40" t="n"/>
      <c r="C434" s="40" t="n"/>
    </row>
    <row r="435">
      <c r="B435" s="40" t="n"/>
      <c r="C435" s="40" t="n"/>
    </row>
    <row r="436">
      <c r="B436" s="40" t="n"/>
      <c r="C436" s="40" t="n"/>
    </row>
    <row r="437">
      <c r="B437" s="40" t="n"/>
      <c r="C437" s="40" t="n"/>
    </row>
    <row r="438">
      <c r="B438" s="40" t="n"/>
      <c r="C438" s="40" t="n"/>
    </row>
    <row r="439">
      <c r="B439" s="40" t="n"/>
      <c r="C439" s="40" t="n"/>
    </row>
    <row r="440">
      <c r="B440" s="40" t="n"/>
      <c r="C440" s="40" t="n"/>
    </row>
    <row r="441">
      <c r="B441" s="40" t="n"/>
      <c r="C441" s="40" t="n"/>
    </row>
    <row r="442">
      <c r="B442" s="40" t="n"/>
      <c r="C442" s="40" t="n"/>
    </row>
    <row r="443">
      <c r="B443" s="40" t="n"/>
      <c r="C443" s="40" t="n"/>
    </row>
    <row r="444">
      <c r="B444" s="40" t="n"/>
      <c r="C444" s="40" t="n"/>
    </row>
    <row r="445">
      <c r="B445" s="40" t="n"/>
      <c r="C445" s="40" t="n"/>
    </row>
    <row r="446">
      <c r="B446" s="40" t="n"/>
      <c r="C446" s="40" t="n"/>
    </row>
    <row r="447">
      <c r="B447" s="40" t="n"/>
      <c r="C447" s="40" t="n"/>
    </row>
    <row r="448">
      <c r="B448" s="40" t="n"/>
      <c r="C448" s="40" t="n"/>
    </row>
    <row r="449">
      <c r="B449" s="40" t="n"/>
      <c r="C449" s="40" t="n"/>
    </row>
    <row r="450">
      <c r="B450" s="40" t="n"/>
      <c r="C450" s="40" t="n"/>
    </row>
    <row r="451">
      <c r="B451" s="40" t="n"/>
      <c r="C451" s="40" t="n"/>
    </row>
    <row r="452">
      <c r="B452" s="40" t="n"/>
      <c r="C452" s="40" t="n"/>
    </row>
    <row r="453">
      <c r="B453" s="40" t="n"/>
      <c r="C453" s="40" t="n"/>
    </row>
    <row r="454">
      <c r="B454" s="40" t="n"/>
      <c r="C454" s="40" t="n"/>
    </row>
    <row r="455">
      <c r="B455" s="40" t="n"/>
      <c r="C455" s="40" t="n"/>
    </row>
    <row r="456">
      <c r="B456" s="40" t="n"/>
      <c r="C456" s="40" t="n"/>
    </row>
    <row r="457">
      <c r="B457" s="40" t="n"/>
      <c r="C457" s="40" t="n"/>
    </row>
    <row r="458">
      <c r="B458" s="40" t="n"/>
      <c r="C458" s="40" t="n"/>
    </row>
    <row r="459">
      <c r="B459" s="40" t="n"/>
      <c r="C459" s="40" t="n"/>
    </row>
    <row r="460">
      <c r="B460" s="40" t="n"/>
      <c r="C460" s="40" t="n"/>
    </row>
    <row r="461">
      <c r="B461" s="40" t="n"/>
      <c r="C461" s="40" t="n"/>
    </row>
    <row r="462">
      <c r="B462" s="40" t="n"/>
      <c r="C462" s="40" t="n"/>
    </row>
    <row r="463">
      <c r="B463" s="40" t="n"/>
      <c r="C463" s="40" t="n"/>
    </row>
    <row r="464">
      <c r="B464" s="40" t="n"/>
      <c r="C464" s="40" t="n"/>
    </row>
    <row r="465">
      <c r="B465" s="40" t="n"/>
      <c r="C465" s="40" t="n"/>
    </row>
    <row r="466">
      <c r="B466" s="40" t="n"/>
      <c r="C466" s="40" t="n"/>
    </row>
    <row r="467">
      <c r="B467" s="40" t="n"/>
      <c r="C467" s="40" t="n"/>
    </row>
    <row r="468">
      <c r="B468" s="40" t="n"/>
      <c r="C468" s="40" t="n"/>
    </row>
    <row r="469">
      <c r="B469" s="40" t="n"/>
      <c r="C469" s="40" t="n"/>
    </row>
    <row r="470">
      <c r="B470" s="40" t="n"/>
      <c r="C470" s="40" t="n"/>
    </row>
    <row r="471">
      <c r="B471" s="40" t="n"/>
      <c r="C471" s="40" t="n"/>
    </row>
    <row r="472">
      <c r="B472" s="40" t="n"/>
      <c r="C472" s="40" t="n"/>
    </row>
    <row r="473">
      <c r="B473" s="40" t="n"/>
      <c r="C473" s="40" t="n"/>
    </row>
    <row r="474">
      <c r="B474" s="40" t="n"/>
      <c r="C474" s="40" t="n"/>
    </row>
    <row r="475">
      <c r="B475" s="40" t="n"/>
      <c r="C475" s="40" t="n"/>
    </row>
    <row r="476">
      <c r="B476" s="40" t="n"/>
      <c r="C476" s="40" t="n"/>
    </row>
    <row r="477">
      <c r="B477" s="40" t="n"/>
      <c r="C477" s="40" t="n"/>
    </row>
    <row r="478">
      <c r="B478" s="40" t="n"/>
      <c r="C478" s="40" t="n"/>
    </row>
    <row r="479">
      <c r="B479" s="40" t="n"/>
      <c r="C479" s="40" t="n"/>
    </row>
    <row r="480">
      <c r="B480" s="40" t="n"/>
      <c r="C480" s="40" t="n"/>
    </row>
    <row r="481">
      <c r="B481" s="40" t="n"/>
      <c r="C481" s="40" t="n"/>
    </row>
    <row r="482">
      <c r="B482" s="40" t="n"/>
      <c r="C482" s="40" t="n"/>
    </row>
    <row r="483">
      <c r="B483" s="40" t="n"/>
      <c r="C483" s="40" t="n"/>
    </row>
    <row r="484">
      <c r="B484" s="40" t="n"/>
      <c r="C484" s="40" t="n"/>
    </row>
    <row r="485">
      <c r="B485" s="40" t="n"/>
      <c r="C485" s="40" t="n"/>
    </row>
    <row r="486">
      <c r="B486" s="40" t="n"/>
      <c r="C486" s="40" t="n"/>
    </row>
    <row r="487">
      <c r="B487" s="40" t="n"/>
      <c r="C487" s="40" t="n"/>
    </row>
    <row r="488">
      <c r="B488" s="40" t="n"/>
      <c r="C488" s="40" t="n"/>
    </row>
    <row r="489">
      <c r="B489" s="40" t="n"/>
      <c r="C489" s="40" t="n"/>
    </row>
    <row r="490">
      <c r="B490" s="40" t="n"/>
      <c r="C490" s="40" t="n"/>
    </row>
    <row r="491">
      <c r="B491" s="40" t="n"/>
      <c r="C491" s="40" t="n"/>
    </row>
    <row r="492">
      <c r="B492" s="40" t="n"/>
      <c r="C492" s="40" t="n"/>
    </row>
    <row r="493">
      <c r="B493" s="40" t="n"/>
      <c r="C493" s="40" t="n"/>
    </row>
    <row r="494">
      <c r="B494" s="40" t="n"/>
      <c r="C494" s="40" t="n"/>
    </row>
    <row r="495">
      <c r="B495" s="40" t="n"/>
      <c r="C495" s="40" t="n"/>
    </row>
    <row r="496">
      <c r="B496" s="40" t="n"/>
      <c r="C496" s="40" t="n"/>
    </row>
    <row r="497">
      <c r="B497" s="40" t="n"/>
      <c r="C497" s="40" t="n"/>
    </row>
    <row r="498">
      <c r="B498" s="40" t="n"/>
      <c r="C498" s="40" t="n"/>
    </row>
    <row r="499">
      <c r="B499" s="40" t="n"/>
      <c r="C499" s="40" t="n"/>
    </row>
    <row r="500">
      <c r="B500" s="40" t="n"/>
      <c r="C500" s="40" t="n"/>
    </row>
    <row r="501">
      <c r="B501" s="40" t="n"/>
      <c r="C501" s="40" t="n"/>
    </row>
    <row r="502">
      <c r="B502" s="40" t="n"/>
      <c r="C502" s="40" t="n"/>
    </row>
    <row r="503">
      <c r="B503" s="40" t="n"/>
      <c r="C503" s="40" t="n"/>
    </row>
    <row r="504">
      <c r="B504" s="40" t="n"/>
      <c r="C504" s="40" t="n"/>
    </row>
    <row r="505">
      <c r="B505" s="40" t="n"/>
      <c r="C505" s="40" t="n"/>
    </row>
    <row r="506">
      <c r="B506" s="40" t="n"/>
      <c r="C506" s="40" t="n"/>
    </row>
    <row r="507">
      <c r="B507" s="40" t="n"/>
      <c r="C507" s="40" t="n"/>
    </row>
    <row r="508">
      <c r="B508" s="40" t="n"/>
      <c r="C508" s="40" t="n"/>
    </row>
    <row r="509">
      <c r="B509" s="40" t="n"/>
      <c r="C509" s="40" t="n"/>
    </row>
    <row r="510">
      <c r="B510" s="40" t="n"/>
      <c r="C510" s="40" t="n"/>
    </row>
    <row r="511">
      <c r="B511" s="40" t="n"/>
      <c r="C511" s="40" t="n"/>
    </row>
    <row r="512">
      <c r="B512" s="40" t="n"/>
      <c r="C512" s="40" t="n"/>
    </row>
    <row r="513">
      <c r="B513" s="40" t="n"/>
      <c r="C513" s="40" t="n"/>
    </row>
    <row r="514">
      <c r="B514" s="40" t="n"/>
      <c r="C514" s="40" t="n"/>
    </row>
    <row r="515">
      <c r="B515" s="40" t="n"/>
      <c r="C515" s="40" t="n"/>
    </row>
    <row r="516">
      <c r="B516" s="40" t="n"/>
      <c r="C516" s="40" t="n"/>
    </row>
    <row r="517">
      <c r="B517" s="40" t="n"/>
      <c r="C517" s="40" t="n"/>
    </row>
    <row r="518">
      <c r="B518" s="40" t="n"/>
      <c r="C518" s="40" t="n"/>
    </row>
    <row r="519">
      <c r="B519" s="40" t="n"/>
      <c r="C519" s="40" t="n"/>
    </row>
    <row r="520">
      <c r="B520" s="40" t="n"/>
      <c r="C520" s="40" t="n"/>
    </row>
    <row r="521">
      <c r="B521" s="40" t="n"/>
      <c r="C521" s="40" t="n"/>
    </row>
    <row r="522">
      <c r="B522" s="40" t="n"/>
      <c r="C522" s="40" t="n"/>
    </row>
    <row r="523">
      <c r="B523" s="40" t="n"/>
      <c r="C523" s="40" t="n"/>
    </row>
    <row r="524">
      <c r="B524" s="40" t="n"/>
      <c r="C524" s="40" t="n"/>
    </row>
    <row r="525">
      <c r="B525" s="40" t="n"/>
      <c r="C525" s="40" t="n"/>
    </row>
    <row r="526">
      <c r="B526" s="40" t="n"/>
      <c r="C526" s="40" t="n"/>
    </row>
    <row r="527">
      <c r="B527" s="40" t="n"/>
      <c r="C527" s="40" t="n"/>
    </row>
    <row r="528">
      <c r="B528" s="40" t="n"/>
      <c r="C528" s="40" t="n"/>
    </row>
    <row r="529">
      <c r="B529" s="40" t="n"/>
      <c r="C529" s="40" t="n"/>
    </row>
    <row r="530">
      <c r="B530" s="40" t="n"/>
      <c r="C530" s="40" t="n"/>
    </row>
    <row r="531">
      <c r="B531" s="40" t="n"/>
      <c r="C531" s="40" t="n"/>
    </row>
    <row r="532">
      <c r="B532" s="40" t="n"/>
      <c r="C532" s="40" t="n"/>
    </row>
    <row r="533">
      <c r="B533" s="40" t="n"/>
      <c r="C533" s="40" t="n"/>
    </row>
    <row r="534">
      <c r="B534" s="40" t="n"/>
      <c r="C534" s="40" t="n"/>
    </row>
    <row r="535">
      <c r="B535" s="40" t="n"/>
      <c r="C535" s="40" t="n"/>
    </row>
    <row r="536">
      <c r="B536" s="40" t="n"/>
      <c r="C536" s="40" t="n"/>
    </row>
    <row r="537">
      <c r="B537" s="40" t="n"/>
      <c r="C537" s="40" t="n"/>
    </row>
    <row r="538">
      <c r="B538" s="40" t="n"/>
      <c r="C538" s="40" t="n"/>
    </row>
    <row r="539">
      <c r="B539" s="40" t="n"/>
      <c r="C539" s="40" t="n"/>
    </row>
    <row r="540">
      <c r="B540" s="40" t="n"/>
      <c r="C540" s="40" t="n"/>
    </row>
    <row r="541">
      <c r="B541" s="40" t="n"/>
      <c r="C541" s="40" t="n"/>
    </row>
    <row r="542">
      <c r="B542" s="40" t="n"/>
      <c r="C542" s="40" t="n"/>
    </row>
    <row r="543">
      <c r="B543" s="40" t="n"/>
      <c r="C543" s="40" t="n"/>
    </row>
    <row r="544">
      <c r="B544" s="40" t="n"/>
      <c r="C544" s="40" t="n"/>
    </row>
    <row r="545">
      <c r="B545" s="40" t="n"/>
      <c r="C545" s="40" t="n"/>
    </row>
    <row r="546">
      <c r="B546" s="40" t="n"/>
      <c r="C546" s="40" t="n"/>
    </row>
    <row r="547">
      <c r="B547" s="40" t="n"/>
      <c r="C547" s="40" t="n"/>
    </row>
    <row r="548">
      <c r="B548" s="40" t="n"/>
      <c r="C548" s="40" t="n"/>
    </row>
    <row r="549">
      <c r="B549" s="40" t="n"/>
      <c r="C549" s="40" t="n"/>
    </row>
    <row r="550">
      <c r="B550" s="40" t="n"/>
      <c r="C550" s="40" t="n"/>
    </row>
    <row r="551">
      <c r="B551" s="40" t="n"/>
      <c r="C551" s="40" t="n"/>
    </row>
    <row r="552">
      <c r="B552" s="40" t="n"/>
      <c r="C552" s="40" t="n"/>
    </row>
    <row r="553">
      <c r="B553" s="40" t="n"/>
      <c r="C553" s="40" t="n"/>
    </row>
    <row r="554">
      <c r="B554" s="40" t="n"/>
      <c r="C554" s="40" t="n"/>
    </row>
    <row r="555">
      <c r="B555" s="40" t="n"/>
      <c r="C555" s="40" t="n"/>
    </row>
    <row r="556">
      <c r="B556" s="40" t="n"/>
      <c r="C556" s="40" t="n"/>
    </row>
    <row r="557">
      <c r="B557" s="40" t="n"/>
      <c r="C557" s="40" t="n"/>
    </row>
    <row r="558">
      <c r="B558" s="40" t="n"/>
      <c r="C558" s="40" t="n"/>
    </row>
    <row r="559">
      <c r="B559" s="40" t="n"/>
      <c r="C559" s="40" t="n"/>
    </row>
    <row r="560">
      <c r="B560" s="40" t="n"/>
      <c r="C560" s="40" t="n"/>
    </row>
    <row r="561">
      <c r="B561" s="40" t="n"/>
      <c r="C561" s="40" t="n"/>
    </row>
    <row r="562">
      <c r="B562" s="40" t="n"/>
      <c r="C562" s="40" t="n"/>
    </row>
    <row r="563">
      <c r="B563" s="40" t="n"/>
      <c r="C563" s="40" t="n"/>
    </row>
    <row r="564">
      <c r="B564" s="40" t="n"/>
      <c r="C564" s="40" t="n"/>
    </row>
    <row r="565">
      <c r="B565" s="40" t="n"/>
      <c r="C565" s="40" t="n"/>
    </row>
    <row r="566">
      <c r="B566" s="40" t="n"/>
      <c r="C566" s="40" t="n"/>
    </row>
    <row r="567">
      <c r="B567" s="40" t="n"/>
      <c r="C567" s="40" t="n"/>
    </row>
    <row r="568">
      <c r="B568" s="40" t="n"/>
      <c r="C568" s="40" t="n"/>
    </row>
    <row r="569">
      <c r="B569" s="40" t="n"/>
      <c r="C569" s="40" t="n"/>
    </row>
    <row r="570">
      <c r="B570" s="40" t="n"/>
      <c r="C570" s="40" t="n"/>
    </row>
    <row r="571">
      <c r="B571" s="40" t="n"/>
      <c r="C571" s="40" t="n"/>
    </row>
    <row r="572">
      <c r="B572" s="40" t="n"/>
      <c r="C572" s="40" t="n"/>
    </row>
    <row r="573">
      <c r="B573" s="40" t="n"/>
      <c r="C573" s="40" t="n"/>
    </row>
    <row r="574">
      <c r="B574" s="40" t="n"/>
      <c r="C574" s="40" t="n"/>
    </row>
    <row r="575">
      <c r="B575" s="40" t="n"/>
      <c r="C575" s="40" t="n"/>
    </row>
    <row r="576">
      <c r="B576" s="40" t="n"/>
      <c r="C576" s="40" t="n"/>
    </row>
    <row r="577">
      <c r="B577" s="40" t="n"/>
      <c r="C577" s="40" t="n"/>
    </row>
    <row r="578">
      <c r="B578" s="40" t="n"/>
      <c r="C578" s="40" t="n"/>
    </row>
    <row r="579">
      <c r="B579" s="40" t="n"/>
      <c r="C579" s="40" t="n"/>
    </row>
    <row r="580">
      <c r="B580" s="40" t="n"/>
      <c r="C580" s="40" t="n"/>
    </row>
    <row r="581">
      <c r="B581" s="40" t="n"/>
      <c r="C581" s="40" t="n"/>
    </row>
    <row r="582">
      <c r="B582" s="40" t="n"/>
      <c r="C582" s="40" t="n"/>
    </row>
    <row r="583">
      <c r="B583" s="40" t="n"/>
      <c r="C583" s="40" t="n"/>
    </row>
    <row r="584">
      <c r="B584" s="40" t="n"/>
      <c r="C584" s="40" t="n"/>
    </row>
    <row r="585">
      <c r="B585" s="40" t="n"/>
      <c r="C585" s="40" t="n"/>
    </row>
    <row r="586">
      <c r="B586" s="40" t="n"/>
      <c r="C586" s="40" t="n"/>
    </row>
    <row r="587">
      <c r="B587" s="40" t="n"/>
      <c r="C587" s="40" t="n"/>
    </row>
    <row r="588">
      <c r="B588" s="40" t="n"/>
      <c r="C588" s="40" t="n"/>
    </row>
    <row r="589">
      <c r="B589" s="40" t="n"/>
      <c r="C589" s="40" t="n"/>
    </row>
    <row r="590">
      <c r="B590" s="40" t="n"/>
      <c r="C590" s="40" t="n"/>
    </row>
    <row r="591">
      <c r="B591" s="40" t="n"/>
      <c r="C591" s="40" t="n"/>
    </row>
    <row r="592">
      <c r="B592" s="40" t="n"/>
      <c r="C592" s="40" t="n"/>
    </row>
    <row r="593">
      <c r="B593" s="40" t="n"/>
      <c r="C593" s="40" t="n"/>
    </row>
    <row r="594">
      <c r="B594" s="40" t="n"/>
      <c r="C594" s="40" t="n"/>
    </row>
    <row r="595">
      <c r="B595" s="40" t="n"/>
      <c r="C595" s="40" t="n"/>
    </row>
    <row r="596">
      <c r="B596" s="40" t="n"/>
      <c r="C596" s="40" t="n"/>
    </row>
    <row r="597">
      <c r="B597" s="40" t="n"/>
      <c r="C597" s="40" t="n"/>
    </row>
    <row r="598">
      <c r="B598" s="40" t="n"/>
      <c r="C598" s="40" t="n"/>
    </row>
    <row r="599">
      <c r="B599" s="40" t="n"/>
      <c r="C599" s="40" t="n"/>
    </row>
    <row r="600">
      <c r="B600" s="40" t="n"/>
      <c r="C600" s="40" t="n"/>
    </row>
    <row r="601">
      <c r="B601" s="40" t="n"/>
      <c r="C601" s="40" t="n"/>
    </row>
    <row r="602">
      <c r="B602" s="40" t="n"/>
      <c r="C602" s="40" t="n"/>
    </row>
    <row r="603">
      <c r="B603" s="40" t="n"/>
      <c r="C603" s="40" t="n"/>
    </row>
    <row r="604">
      <c r="B604" s="40" t="n"/>
      <c r="C604" s="40" t="n"/>
    </row>
    <row r="605">
      <c r="B605" s="40" t="n"/>
      <c r="C605" s="40" t="n"/>
    </row>
    <row r="606">
      <c r="B606" s="40" t="n"/>
      <c r="C606" s="40" t="n"/>
    </row>
    <row r="607">
      <c r="B607" s="40" t="n"/>
      <c r="C607" s="40" t="n"/>
    </row>
    <row r="608">
      <c r="B608" s="40" t="n"/>
      <c r="C608" s="40" t="n"/>
    </row>
    <row r="609">
      <c r="B609" s="40" t="n"/>
      <c r="C609" s="40" t="n"/>
    </row>
    <row r="610">
      <c r="B610" s="40" t="n"/>
      <c r="C610" s="40" t="n"/>
    </row>
    <row r="611">
      <c r="B611" s="40" t="n"/>
      <c r="C611" s="40" t="n"/>
    </row>
    <row r="612">
      <c r="B612" s="40" t="n"/>
      <c r="C612" s="40" t="n"/>
    </row>
    <row r="613">
      <c r="B613" s="40" t="n"/>
      <c r="C613" s="40" t="n"/>
    </row>
    <row r="614">
      <c r="B614" s="40" t="n"/>
      <c r="C614" s="40" t="n"/>
    </row>
    <row r="615">
      <c r="B615" s="40" t="n"/>
      <c r="C615" s="40" t="n"/>
    </row>
    <row r="616">
      <c r="B616" s="40" t="n"/>
      <c r="C616" s="40" t="n"/>
    </row>
    <row r="617">
      <c r="B617" s="40" t="n"/>
      <c r="C617" s="40" t="n"/>
    </row>
    <row r="618">
      <c r="B618" s="40" t="n"/>
      <c r="C618" s="40" t="n"/>
    </row>
    <row r="619">
      <c r="B619" s="40" t="n"/>
      <c r="C619" s="40" t="n"/>
    </row>
    <row r="620">
      <c r="B620" s="40" t="n"/>
      <c r="C620" s="40" t="n"/>
    </row>
    <row r="621">
      <c r="B621" s="40" t="n"/>
      <c r="C621" s="40" t="n"/>
    </row>
    <row r="622">
      <c r="B622" s="40" t="n"/>
      <c r="C622" s="40" t="n"/>
    </row>
    <row r="623">
      <c r="B623" s="40" t="n"/>
      <c r="C623" s="40" t="n"/>
    </row>
    <row r="624">
      <c r="B624" s="40" t="n"/>
      <c r="C624" s="40" t="n"/>
    </row>
    <row r="625">
      <c r="B625" s="40" t="n"/>
      <c r="C625" s="40" t="n"/>
    </row>
    <row r="626">
      <c r="B626" s="40" t="n"/>
      <c r="C626" s="40" t="n"/>
    </row>
    <row r="627">
      <c r="B627" s="40" t="n"/>
      <c r="C627" s="40" t="n"/>
    </row>
    <row r="628">
      <c r="B628" s="40" t="n"/>
      <c r="C628" s="40" t="n"/>
    </row>
    <row r="629">
      <c r="B629" s="40" t="n"/>
      <c r="C629" s="40" t="n"/>
    </row>
    <row r="630">
      <c r="B630" s="40" t="n"/>
      <c r="C630" s="40" t="n"/>
    </row>
    <row r="631">
      <c r="B631" s="40" t="n"/>
      <c r="C631" s="40" t="n"/>
    </row>
    <row r="632">
      <c r="B632" s="40" t="n"/>
      <c r="C632" s="40" t="n"/>
    </row>
    <row r="633">
      <c r="B633" s="40" t="n"/>
      <c r="C633" s="40" t="n"/>
    </row>
    <row r="634">
      <c r="B634" s="40" t="n"/>
      <c r="C634" s="40" t="n"/>
    </row>
    <row r="635">
      <c r="B635" s="40" t="n"/>
      <c r="C635" s="40" t="n"/>
    </row>
    <row r="636">
      <c r="B636" s="40" t="n"/>
      <c r="C636" s="40" t="n"/>
    </row>
    <row r="637">
      <c r="B637" s="40" t="n"/>
      <c r="C637" s="40" t="n"/>
    </row>
    <row r="638">
      <c r="B638" s="40" t="n"/>
      <c r="C638" s="40" t="n"/>
    </row>
    <row r="639">
      <c r="B639" s="40" t="n"/>
      <c r="C639" s="40" t="n"/>
    </row>
    <row r="640">
      <c r="B640" s="40" t="n"/>
      <c r="C640" s="40" t="n"/>
    </row>
    <row r="641">
      <c r="B641" s="40" t="n"/>
      <c r="C641" s="40" t="n"/>
    </row>
    <row r="642">
      <c r="B642" s="40" t="n"/>
      <c r="C642" s="40" t="n"/>
    </row>
    <row r="643">
      <c r="B643" s="40" t="n"/>
      <c r="C643" s="40" t="n"/>
    </row>
    <row r="644">
      <c r="B644" s="40" t="n"/>
      <c r="C644" s="40" t="n"/>
    </row>
    <row r="645">
      <c r="B645" s="40" t="n"/>
      <c r="C645" s="40" t="n"/>
    </row>
    <row r="646">
      <c r="B646" s="40" t="n"/>
      <c r="C646" s="40" t="n"/>
    </row>
    <row r="647">
      <c r="B647" s="40" t="n"/>
      <c r="C647" s="40" t="n"/>
    </row>
    <row r="648">
      <c r="B648" s="40" t="n"/>
      <c r="C648" s="40" t="n"/>
    </row>
    <row r="649">
      <c r="B649" s="40" t="n"/>
      <c r="C649" s="40" t="n"/>
    </row>
    <row r="650">
      <c r="B650" s="40" t="n"/>
      <c r="C650" s="40" t="n"/>
    </row>
    <row r="651">
      <c r="B651" s="40" t="n"/>
      <c r="C651" s="40" t="n"/>
    </row>
    <row r="652">
      <c r="B652" s="40" t="n"/>
      <c r="C652" s="40" t="n"/>
    </row>
    <row r="653">
      <c r="B653" s="40" t="n"/>
      <c r="C653" s="40" t="n"/>
    </row>
    <row r="654">
      <c r="B654" s="40" t="n"/>
      <c r="C654" s="40" t="n"/>
    </row>
    <row r="655">
      <c r="B655" s="40" t="n"/>
      <c r="C655" s="40" t="n"/>
    </row>
    <row r="656">
      <c r="B656" s="40" t="n"/>
      <c r="C656" s="40" t="n"/>
    </row>
    <row r="657">
      <c r="B657" s="40" t="n"/>
      <c r="C657" s="40" t="n"/>
    </row>
    <row r="658">
      <c r="B658" s="40" t="n"/>
      <c r="C658" s="40" t="n"/>
    </row>
    <row r="659">
      <c r="B659" s="40" t="n"/>
      <c r="C659" s="40" t="n"/>
    </row>
    <row r="660">
      <c r="B660" s="40" t="n"/>
      <c r="C660" s="40" t="n"/>
    </row>
    <row r="661">
      <c r="B661" s="40" t="n"/>
      <c r="C661" s="40" t="n"/>
    </row>
    <row r="662">
      <c r="B662" s="40" t="n"/>
      <c r="C662" s="40" t="n"/>
    </row>
    <row r="663">
      <c r="B663" s="40" t="n"/>
      <c r="C663" s="40" t="n"/>
    </row>
    <row r="664">
      <c r="B664" s="40" t="n"/>
      <c r="C664" s="40" t="n"/>
    </row>
    <row r="665">
      <c r="B665" s="40" t="n"/>
      <c r="C665" s="40" t="n"/>
    </row>
    <row r="666">
      <c r="B666" s="40" t="n"/>
      <c r="C666" s="40" t="n"/>
    </row>
    <row r="667">
      <c r="B667" s="40" t="n"/>
      <c r="C667" s="40" t="n"/>
    </row>
    <row r="668">
      <c r="B668" s="40" t="n"/>
      <c r="C668" s="40" t="n"/>
    </row>
    <row r="669">
      <c r="B669" s="40" t="n"/>
      <c r="C669" s="40" t="n"/>
    </row>
    <row r="670">
      <c r="B670" s="40" t="n"/>
      <c r="C670" s="40" t="n"/>
    </row>
    <row r="671">
      <c r="B671" s="40" t="n"/>
      <c r="C671" s="40" t="n"/>
    </row>
    <row r="672">
      <c r="B672" s="40" t="n"/>
      <c r="C672" s="40" t="n"/>
    </row>
    <row r="673">
      <c r="B673" s="40" t="n"/>
      <c r="C673" s="40" t="n"/>
    </row>
    <row r="674">
      <c r="B674" s="40" t="n"/>
      <c r="C674" s="40" t="n"/>
    </row>
    <row r="675">
      <c r="B675" s="40" t="n"/>
      <c r="C675" s="40" t="n"/>
    </row>
    <row r="676">
      <c r="B676" s="40" t="n"/>
      <c r="C676" s="40" t="n"/>
    </row>
    <row r="677">
      <c r="B677" s="40" t="n"/>
      <c r="C677" s="40" t="n"/>
    </row>
    <row r="678">
      <c r="B678" s="40" t="n"/>
      <c r="C678" s="40" t="n"/>
    </row>
    <row r="679">
      <c r="B679" s="40" t="n"/>
      <c r="C679" s="40" t="n"/>
    </row>
    <row r="680">
      <c r="B680" s="40" t="n"/>
      <c r="C680" s="40" t="n"/>
    </row>
    <row r="681">
      <c r="B681" s="40" t="n"/>
      <c r="C681" s="40" t="n"/>
    </row>
    <row r="682">
      <c r="B682" s="40" t="n"/>
      <c r="C682" s="40" t="n"/>
    </row>
    <row r="683">
      <c r="B683" s="40" t="n"/>
      <c r="C683" s="40" t="n"/>
    </row>
    <row r="684">
      <c r="B684" s="40" t="n"/>
      <c r="C684" s="40" t="n"/>
    </row>
    <row r="685">
      <c r="B685" s="40" t="n"/>
      <c r="C685" s="40" t="n"/>
    </row>
    <row r="686">
      <c r="B686" s="40" t="n"/>
      <c r="C686" s="40" t="n"/>
    </row>
    <row r="687">
      <c r="B687" s="40" t="n"/>
      <c r="C687" s="40" t="n"/>
    </row>
    <row r="688">
      <c r="B688" s="40" t="n"/>
      <c r="C688" s="40" t="n"/>
    </row>
    <row r="689">
      <c r="B689" s="40" t="n"/>
      <c r="C689" s="40" t="n"/>
    </row>
    <row r="690">
      <c r="B690" s="40" t="n"/>
      <c r="C690" s="40" t="n"/>
    </row>
    <row r="691">
      <c r="B691" s="40" t="n"/>
      <c r="C691" s="40" t="n"/>
    </row>
    <row r="692">
      <c r="B692" s="40" t="n"/>
      <c r="C692" s="40" t="n"/>
    </row>
    <row r="693">
      <c r="B693" s="40" t="n"/>
      <c r="C693" s="40" t="n"/>
    </row>
    <row r="694">
      <c r="B694" s="40" t="n"/>
      <c r="C694" s="40" t="n"/>
    </row>
    <row r="695">
      <c r="B695" s="40" t="n"/>
      <c r="C695" s="40" t="n"/>
    </row>
    <row r="696">
      <c r="B696" s="40" t="n"/>
      <c r="C696" s="40" t="n"/>
    </row>
    <row r="697">
      <c r="B697" s="40" t="n"/>
      <c r="C697" s="40" t="n"/>
    </row>
    <row r="698">
      <c r="B698" s="40" t="n"/>
      <c r="C698" s="40" t="n"/>
    </row>
    <row r="699">
      <c r="B699" s="40" t="n"/>
      <c r="C699" s="40" t="n"/>
    </row>
    <row r="700">
      <c r="B700" s="40" t="n"/>
      <c r="C700" s="40" t="n"/>
    </row>
    <row r="701">
      <c r="B701" s="40" t="n"/>
      <c r="C701" s="40" t="n"/>
    </row>
    <row r="702">
      <c r="B702" s="40" t="n"/>
      <c r="C702" s="40" t="n"/>
    </row>
    <row r="703">
      <c r="B703" s="40" t="n"/>
      <c r="C703" s="40" t="n"/>
    </row>
    <row r="704">
      <c r="B704" s="40" t="n"/>
      <c r="C704" s="40" t="n"/>
    </row>
    <row r="705">
      <c r="B705" s="40" t="n"/>
      <c r="C705" s="40" t="n"/>
    </row>
    <row r="706">
      <c r="B706" s="40" t="n"/>
      <c r="C706" s="40" t="n"/>
    </row>
    <row r="707">
      <c r="B707" s="40" t="n"/>
      <c r="C707" s="40" t="n"/>
    </row>
    <row r="708">
      <c r="B708" s="40" t="n"/>
      <c r="C708" s="40" t="n"/>
    </row>
    <row r="709">
      <c r="B709" s="40" t="n"/>
      <c r="C709" s="40" t="n"/>
    </row>
    <row r="710">
      <c r="B710" s="40" t="n"/>
      <c r="C710" s="40" t="n"/>
    </row>
    <row r="711">
      <c r="B711" s="40" t="n"/>
      <c r="C711" s="40" t="n"/>
    </row>
    <row r="712">
      <c r="B712" s="40" t="n"/>
      <c r="C712" s="40" t="n"/>
    </row>
    <row r="713">
      <c r="B713" s="40" t="n"/>
      <c r="C713" s="40" t="n"/>
    </row>
    <row r="714">
      <c r="B714" s="40" t="n"/>
      <c r="C714" s="40" t="n"/>
    </row>
    <row r="715">
      <c r="B715" s="40" t="n"/>
      <c r="C715" s="40" t="n"/>
    </row>
    <row r="716">
      <c r="B716" s="40" t="n"/>
      <c r="C716" s="40" t="n"/>
    </row>
    <row r="717">
      <c r="B717" s="40" t="n"/>
      <c r="C717" s="40" t="n"/>
    </row>
    <row r="718">
      <c r="B718" s="40" t="n"/>
      <c r="C718" s="40" t="n"/>
    </row>
    <row r="719">
      <c r="B719" s="40" t="n"/>
      <c r="C719" s="40" t="n"/>
    </row>
    <row r="720">
      <c r="B720" s="40" t="n"/>
      <c r="C720" s="40" t="n"/>
    </row>
    <row r="721">
      <c r="B721" s="40" t="n"/>
      <c r="C721" s="40" t="n"/>
    </row>
    <row r="722">
      <c r="B722" s="40" t="n"/>
      <c r="C722" s="40" t="n"/>
    </row>
    <row r="723">
      <c r="B723" s="40" t="n"/>
      <c r="C723" s="40" t="n"/>
    </row>
    <row r="724">
      <c r="B724" s="40" t="n"/>
      <c r="C724" s="40" t="n"/>
    </row>
    <row r="725">
      <c r="B725" s="40" t="n"/>
      <c r="C725" s="40" t="n"/>
    </row>
    <row r="726">
      <c r="B726" s="40" t="n"/>
      <c r="C726" s="40" t="n"/>
    </row>
    <row r="727">
      <c r="B727" s="40" t="n"/>
      <c r="C727" s="40" t="n"/>
    </row>
    <row r="728">
      <c r="B728" s="40" t="n"/>
      <c r="C728" s="40" t="n"/>
    </row>
    <row r="729">
      <c r="B729" s="40" t="n"/>
      <c r="C729" s="40" t="n"/>
    </row>
    <row r="730">
      <c r="B730" s="40" t="n"/>
      <c r="C730" s="40" t="n"/>
    </row>
    <row r="731">
      <c r="B731" s="40" t="n"/>
      <c r="C731" s="40" t="n"/>
    </row>
    <row r="732">
      <c r="B732" s="40" t="n"/>
      <c r="C732" s="40" t="n"/>
    </row>
    <row r="733">
      <c r="B733" s="40" t="n"/>
      <c r="C733" s="40" t="n"/>
    </row>
    <row r="734">
      <c r="B734" s="40" t="n"/>
      <c r="C734" s="40" t="n"/>
    </row>
    <row r="735">
      <c r="B735" s="40" t="n"/>
      <c r="C735" s="40" t="n"/>
    </row>
    <row r="736">
      <c r="B736" s="40" t="n"/>
      <c r="C736" s="40" t="n"/>
    </row>
    <row r="737">
      <c r="B737" s="40" t="n"/>
      <c r="C737" s="40" t="n"/>
    </row>
    <row r="738">
      <c r="B738" s="40" t="n"/>
      <c r="C738" s="40" t="n"/>
    </row>
    <row r="739">
      <c r="B739" s="40" t="n"/>
      <c r="C739" s="40" t="n"/>
    </row>
    <row r="740">
      <c r="B740" s="40" t="n"/>
      <c r="C740" s="40" t="n"/>
    </row>
    <row r="741">
      <c r="B741" s="40" t="n"/>
      <c r="C741" s="40" t="n"/>
    </row>
    <row r="742">
      <c r="B742" s="40" t="n"/>
      <c r="C742" s="40" t="n"/>
    </row>
    <row r="743">
      <c r="B743" s="40" t="n"/>
      <c r="C743" s="40" t="n"/>
    </row>
    <row r="744">
      <c r="B744" s="40" t="n"/>
      <c r="C744" s="40" t="n"/>
    </row>
    <row r="745">
      <c r="B745" s="40" t="n"/>
      <c r="C745" s="40" t="n"/>
    </row>
    <row r="746">
      <c r="B746" s="40" t="n"/>
      <c r="C746" s="40" t="n"/>
    </row>
    <row r="747">
      <c r="B747" s="40" t="n"/>
      <c r="C747" s="40" t="n"/>
    </row>
    <row r="748">
      <c r="B748" s="40" t="n"/>
      <c r="C748" s="40" t="n"/>
    </row>
    <row r="749">
      <c r="B749" s="40" t="n"/>
      <c r="C749" s="40" t="n"/>
    </row>
    <row r="750">
      <c r="B750" s="40" t="n"/>
      <c r="C750" s="40" t="n"/>
    </row>
    <row r="751">
      <c r="B751" s="40" t="n"/>
      <c r="C751" s="40" t="n"/>
    </row>
    <row r="752">
      <c r="B752" s="40" t="n"/>
      <c r="C752" s="40" t="n"/>
    </row>
    <row r="753">
      <c r="B753" s="40" t="n"/>
      <c r="C753" s="40" t="n"/>
    </row>
    <row r="754">
      <c r="B754" s="40" t="n"/>
      <c r="C754" s="40" t="n"/>
    </row>
    <row r="755">
      <c r="B755" s="40" t="n"/>
      <c r="C755" s="40" t="n"/>
    </row>
    <row r="756">
      <c r="B756" s="40" t="n"/>
      <c r="C756" s="40" t="n"/>
    </row>
    <row r="757">
      <c r="B757" s="40" t="n"/>
      <c r="C757" s="40" t="n"/>
    </row>
    <row r="758">
      <c r="B758" s="40" t="n"/>
      <c r="C758" s="40" t="n"/>
    </row>
    <row r="759">
      <c r="B759" s="40" t="n"/>
      <c r="C759" s="40" t="n"/>
    </row>
    <row r="760">
      <c r="B760" s="40" t="n"/>
      <c r="C760" s="40" t="n"/>
    </row>
    <row r="761">
      <c r="B761" s="40" t="n"/>
      <c r="C761" s="40" t="n"/>
    </row>
    <row r="762">
      <c r="B762" s="40" t="n"/>
      <c r="C762" s="40" t="n"/>
    </row>
    <row r="763">
      <c r="B763" s="40" t="n"/>
      <c r="C763" s="40" t="n"/>
    </row>
    <row r="764">
      <c r="B764" s="40" t="n"/>
      <c r="C764" s="40" t="n"/>
    </row>
    <row r="765">
      <c r="B765" s="40" t="n"/>
      <c r="C765" s="40" t="n"/>
    </row>
    <row r="766">
      <c r="B766" s="40" t="n"/>
      <c r="C766" s="40" t="n"/>
    </row>
    <row r="767">
      <c r="B767" s="40" t="n"/>
      <c r="C767" s="40" t="n"/>
    </row>
    <row r="768">
      <c r="B768" s="40" t="n"/>
      <c r="C768" s="40" t="n"/>
    </row>
    <row r="769">
      <c r="B769" s="40" t="n"/>
      <c r="C769" s="40" t="n"/>
    </row>
    <row r="770">
      <c r="B770" s="40" t="n"/>
      <c r="C770" s="40" t="n"/>
    </row>
    <row r="771">
      <c r="B771" s="40" t="n"/>
      <c r="C771" s="40" t="n"/>
    </row>
    <row r="772">
      <c r="B772" s="40" t="n"/>
      <c r="C772" s="40" t="n"/>
    </row>
    <row r="773">
      <c r="B773" s="40" t="n"/>
      <c r="C773" s="40" t="n"/>
    </row>
    <row r="774">
      <c r="B774" s="40" t="n"/>
      <c r="C774" s="40" t="n"/>
    </row>
    <row r="775">
      <c r="B775" s="40" t="n"/>
      <c r="C775" s="40" t="n"/>
    </row>
    <row r="776">
      <c r="B776" s="40" t="n"/>
      <c r="C776" s="40" t="n"/>
    </row>
    <row r="777">
      <c r="B777" s="40" t="n"/>
      <c r="C777" s="40" t="n"/>
    </row>
    <row r="778">
      <c r="B778" s="40" t="n"/>
      <c r="C778" s="40" t="n"/>
    </row>
    <row r="779">
      <c r="B779" s="40" t="n"/>
      <c r="C779" s="40" t="n"/>
    </row>
    <row r="780">
      <c r="B780" s="40" t="n"/>
      <c r="C780" s="40" t="n"/>
    </row>
    <row r="781">
      <c r="B781" s="40" t="n"/>
      <c r="C781" s="40" t="n"/>
    </row>
    <row r="782">
      <c r="B782" s="40" t="n"/>
      <c r="C782" s="40" t="n"/>
    </row>
    <row r="783">
      <c r="B783" s="40" t="n"/>
      <c r="C783" s="40" t="n"/>
    </row>
    <row r="784">
      <c r="B784" s="40" t="n"/>
      <c r="C784" s="40" t="n"/>
    </row>
    <row r="785">
      <c r="B785" s="40" t="n"/>
      <c r="C785" s="40" t="n"/>
    </row>
    <row r="786">
      <c r="B786" s="40" t="n"/>
      <c r="C786" s="40" t="n"/>
    </row>
    <row r="787">
      <c r="B787" s="40" t="n"/>
      <c r="C787" s="40" t="n"/>
    </row>
    <row r="788">
      <c r="B788" s="40" t="n"/>
      <c r="C788" s="40" t="n"/>
    </row>
    <row r="789">
      <c r="B789" s="40" t="n"/>
      <c r="C789" s="40" t="n"/>
    </row>
    <row r="790">
      <c r="B790" s="40" t="n"/>
      <c r="C790" s="40" t="n"/>
    </row>
    <row r="791">
      <c r="B791" s="40" t="n"/>
      <c r="C791" s="40" t="n"/>
    </row>
    <row r="792">
      <c r="B792" s="40" t="n"/>
      <c r="C792" s="40" t="n"/>
    </row>
    <row r="793">
      <c r="B793" s="40" t="n"/>
      <c r="C793" s="40" t="n"/>
    </row>
    <row r="794">
      <c r="B794" s="40" t="n"/>
      <c r="C794" s="40" t="n"/>
    </row>
    <row r="795">
      <c r="B795" s="40" t="n"/>
      <c r="C795" s="40" t="n"/>
    </row>
    <row r="796">
      <c r="B796" s="40" t="n"/>
      <c r="C796" s="40" t="n"/>
    </row>
    <row r="797">
      <c r="B797" s="40" t="n"/>
      <c r="C797" s="40" t="n"/>
    </row>
    <row r="798">
      <c r="B798" s="40" t="n"/>
      <c r="C798" s="40" t="n"/>
    </row>
    <row r="799">
      <c r="B799" s="40" t="n"/>
      <c r="C799" s="40" t="n"/>
    </row>
    <row r="800">
      <c r="B800" s="40" t="n"/>
      <c r="C800" s="40" t="n"/>
    </row>
    <row r="801">
      <c r="B801" s="40" t="n"/>
      <c r="C801" s="40" t="n"/>
    </row>
    <row r="802">
      <c r="B802" s="40" t="n"/>
      <c r="C802" s="40" t="n"/>
    </row>
    <row r="803">
      <c r="B803" s="40" t="n"/>
      <c r="C803" s="40" t="n"/>
    </row>
    <row r="804">
      <c r="B804" s="40" t="n"/>
      <c r="C804" s="40" t="n"/>
    </row>
    <row r="805">
      <c r="B805" s="40" t="n"/>
      <c r="C805" s="40" t="n"/>
    </row>
    <row r="806">
      <c r="B806" s="40" t="n"/>
      <c r="C806" s="40" t="n"/>
    </row>
    <row r="807">
      <c r="B807" s="40" t="n"/>
      <c r="C807" s="40" t="n"/>
    </row>
    <row r="808">
      <c r="B808" s="40" t="n"/>
      <c r="C808" s="40" t="n"/>
    </row>
    <row r="809">
      <c r="B809" s="40" t="n"/>
      <c r="C809" s="40" t="n"/>
    </row>
    <row r="810">
      <c r="B810" s="40" t="n"/>
      <c r="C810" s="40" t="n"/>
    </row>
    <row r="811">
      <c r="B811" s="40" t="n"/>
      <c r="C811" s="40" t="n"/>
    </row>
    <row r="812">
      <c r="B812" s="40" t="n"/>
      <c r="C812" s="40" t="n"/>
    </row>
    <row r="813">
      <c r="B813" s="40" t="n"/>
      <c r="C813" s="40" t="n"/>
    </row>
    <row r="814">
      <c r="B814" s="40" t="n"/>
      <c r="C814" s="40" t="n"/>
    </row>
    <row r="815">
      <c r="B815" s="40" t="n"/>
      <c r="C815" s="40" t="n"/>
    </row>
    <row r="816">
      <c r="B816" s="40" t="n"/>
      <c r="C816" s="40" t="n"/>
    </row>
    <row r="817">
      <c r="B817" s="40" t="n"/>
      <c r="C817" s="40" t="n"/>
    </row>
    <row r="818">
      <c r="B818" s="40" t="n"/>
      <c r="C818" s="40" t="n"/>
    </row>
    <row r="819">
      <c r="B819" s="40" t="n"/>
      <c r="C819" s="40" t="n"/>
    </row>
    <row r="820">
      <c r="B820" s="40" t="n"/>
      <c r="C820" s="40" t="n"/>
    </row>
    <row r="821">
      <c r="B821" s="40" t="n"/>
      <c r="C821" s="40" t="n"/>
    </row>
    <row r="822">
      <c r="B822" s="40" t="n"/>
      <c r="C822" s="40" t="n"/>
    </row>
    <row r="823">
      <c r="B823" s="40" t="n"/>
      <c r="C823" s="40" t="n"/>
    </row>
    <row r="824">
      <c r="B824" s="40" t="n"/>
      <c r="C824" s="40" t="n"/>
    </row>
    <row r="825">
      <c r="B825" s="40" t="n"/>
      <c r="C825" s="40" t="n"/>
    </row>
    <row r="826">
      <c r="B826" s="40" t="n"/>
      <c r="C826" s="40" t="n"/>
    </row>
    <row r="827">
      <c r="B827" s="40" t="n"/>
      <c r="C827" s="40" t="n"/>
    </row>
    <row r="828">
      <c r="B828" s="40" t="n"/>
      <c r="C828" s="40" t="n"/>
    </row>
    <row r="829">
      <c r="B829" s="40" t="n"/>
      <c r="C829" s="40" t="n"/>
    </row>
    <row r="830">
      <c r="B830" s="40" t="n"/>
      <c r="C830" s="40" t="n"/>
    </row>
    <row r="831">
      <c r="B831" s="40" t="n"/>
      <c r="C831" s="40" t="n"/>
    </row>
    <row r="832">
      <c r="B832" s="40" t="n"/>
      <c r="C832" s="40" t="n"/>
    </row>
    <row r="833">
      <c r="B833" s="40" t="n"/>
      <c r="C833" s="40" t="n"/>
    </row>
    <row r="834">
      <c r="B834" s="40" t="n"/>
      <c r="C834" s="40" t="n"/>
    </row>
    <row r="835">
      <c r="B835" s="40" t="n"/>
      <c r="C835" s="40" t="n"/>
    </row>
    <row r="836">
      <c r="B836" s="40" t="n"/>
      <c r="C836" s="40" t="n"/>
    </row>
    <row r="837">
      <c r="B837" s="40" t="n"/>
      <c r="C837" s="40" t="n"/>
    </row>
    <row r="838">
      <c r="B838" s="40" t="n"/>
      <c r="C838" s="40" t="n"/>
    </row>
    <row r="839">
      <c r="B839" s="40" t="n"/>
      <c r="C839" s="40" t="n"/>
    </row>
    <row r="840">
      <c r="B840" s="40" t="n"/>
      <c r="C840" s="40" t="n"/>
    </row>
    <row r="841">
      <c r="B841" s="40" t="n"/>
      <c r="C841" s="40" t="n"/>
    </row>
    <row r="842">
      <c r="B842" s="40" t="n"/>
      <c r="C842" s="40" t="n"/>
    </row>
    <row r="843">
      <c r="B843" s="40" t="n"/>
      <c r="C843" s="40" t="n"/>
    </row>
    <row r="844">
      <c r="B844" s="40" t="n"/>
      <c r="C844" s="40" t="n"/>
    </row>
    <row r="845">
      <c r="B845" s="40" t="n"/>
      <c r="C845" s="40" t="n"/>
    </row>
    <row r="846">
      <c r="B846" s="40" t="n"/>
      <c r="C846" s="40" t="n"/>
    </row>
    <row r="847">
      <c r="B847" s="40" t="n"/>
      <c r="C847" s="40" t="n"/>
    </row>
    <row r="848">
      <c r="B848" s="40" t="n"/>
      <c r="C848" s="40" t="n"/>
    </row>
    <row r="849">
      <c r="B849" s="40" t="n"/>
      <c r="C849" s="40" t="n"/>
    </row>
    <row r="850">
      <c r="B850" s="40" t="n"/>
      <c r="C850" s="40" t="n"/>
    </row>
    <row r="851">
      <c r="B851" s="40" t="n"/>
      <c r="C851" s="40" t="n"/>
    </row>
    <row r="852">
      <c r="B852" s="40" t="n"/>
      <c r="C852" s="40" t="n"/>
    </row>
    <row r="853">
      <c r="B853" s="40" t="n"/>
      <c r="C853" s="40" t="n"/>
    </row>
    <row r="854">
      <c r="B854" s="40" t="n"/>
      <c r="C854" s="40" t="n"/>
    </row>
    <row r="855">
      <c r="B855" s="40" t="n"/>
      <c r="C855" s="40" t="n"/>
    </row>
    <row r="856">
      <c r="B856" s="40" t="n"/>
      <c r="C856" s="40" t="n"/>
    </row>
    <row r="857">
      <c r="B857" s="40" t="n"/>
      <c r="C857" s="40" t="n"/>
    </row>
    <row r="858">
      <c r="B858" s="40" t="n"/>
      <c r="C858" s="40" t="n"/>
    </row>
    <row r="859">
      <c r="B859" s="40" t="n"/>
      <c r="C859" s="40" t="n"/>
    </row>
    <row r="860">
      <c r="B860" s="40" t="n"/>
      <c r="C860" s="40" t="n"/>
    </row>
    <row r="861">
      <c r="B861" s="40" t="n"/>
      <c r="C861" s="40" t="n"/>
    </row>
    <row r="862">
      <c r="B862" s="40" t="n"/>
      <c r="C862" s="40" t="n"/>
    </row>
    <row r="863">
      <c r="B863" s="40" t="n"/>
      <c r="C863" s="40" t="n"/>
    </row>
    <row r="864">
      <c r="B864" s="40" t="n"/>
      <c r="C864" s="40" t="n"/>
    </row>
    <row r="865">
      <c r="B865" s="40" t="n"/>
      <c r="C865" s="40" t="n"/>
    </row>
    <row r="866">
      <c r="B866" s="40" t="n"/>
      <c r="C866" s="40" t="n"/>
    </row>
    <row r="867">
      <c r="B867" s="40" t="n"/>
      <c r="C867" s="40" t="n"/>
    </row>
    <row r="868">
      <c r="B868" s="40" t="n"/>
      <c r="C868" s="40" t="n"/>
    </row>
    <row r="869">
      <c r="B869" s="40" t="n"/>
      <c r="C869" s="40" t="n"/>
    </row>
    <row r="870">
      <c r="B870" s="40" t="n"/>
      <c r="C870" s="40" t="n"/>
    </row>
    <row r="871">
      <c r="B871" s="40" t="n"/>
      <c r="C871" s="40" t="n"/>
    </row>
    <row r="872">
      <c r="B872" s="40" t="n"/>
      <c r="C872" s="40" t="n"/>
    </row>
    <row r="873">
      <c r="B873" s="40" t="n"/>
      <c r="C873" s="40" t="n"/>
    </row>
    <row r="874">
      <c r="B874" s="40" t="n"/>
      <c r="C874" s="40" t="n"/>
    </row>
    <row r="875">
      <c r="B875" s="40" t="n"/>
      <c r="C875" s="40" t="n"/>
    </row>
    <row r="876">
      <c r="B876" s="40" t="n"/>
      <c r="C876" s="40" t="n"/>
    </row>
    <row r="877">
      <c r="B877" s="40" t="n"/>
      <c r="C877" s="40" t="n"/>
    </row>
    <row r="878">
      <c r="B878" s="40" t="n"/>
      <c r="C878" s="40" t="n"/>
    </row>
    <row r="879">
      <c r="B879" s="40" t="n"/>
      <c r="C879" s="40" t="n"/>
    </row>
    <row r="880">
      <c r="B880" s="40" t="n"/>
      <c r="C880" s="40" t="n"/>
    </row>
    <row r="881">
      <c r="B881" s="40" t="n"/>
      <c r="C881" s="40" t="n"/>
    </row>
    <row r="882">
      <c r="B882" s="40" t="n"/>
      <c r="C882" s="40" t="n"/>
    </row>
    <row r="883">
      <c r="B883" s="40" t="n"/>
      <c r="C883" s="40" t="n"/>
    </row>
    <row r="884">
      <c r="B884" s="40" t="n"/>
      <c r="C884" s="40" t="n"/>
    </row>
    <row r="885">
      <c r="B885" s="40" t="n"/>
      <c r="C885" s="40" t="n"/>
    </row>
    <row r="886">
      <c r="B886" s="40" t="n"/>
      <c r="C886" s="40" t="n"/>
    </row>
    <row r="887">
      <c r="B887" s="40" t="n"/>
      <c r="C887" s="40" t="n"/>
    </row>
    <row r="888">
      <c r="B888" s="40" t="n"/>
      <c r="C888" s="40" t="n"/>
    </row>
    <row r="889">
      <c r="B889" s="40" t="n"/>
      <c r="C889" s="40" t="n"/>
    </row>
    <row r="890">
      <c r="B890" s="40" t="n"/>
      <c r="C890" s="40" t="n"/>
    </row>
    <row r="891">
      <c r="B891" s="40" t="n"/>
      <c r="C891" s="40" t="n"/>
    </row>
    <row r="892">
      <c r="B892" s="40" t="n"/>
      <c r="C892" s="40" t="n"/>
    </row>
    <row r="893">
      <c r="B893" s="40" t="n"/>
      <c r="C893" s="40" t="n"/>
    </row>
    <row r="894">
      <c r="B894" s="40" t="n"/>
      <c r="C894" s="40" t="n"/>
    </row>
    <row r="895">
      <c r="B895" s="40" t="n"/>
      <c r="C895" s="40" t="n"/>
    </row>
    <row r="896">
      <c r="B896" s="40" t="n"/>
      <c r="C896" s="40" t="n"/>
    </row>
    <row r="897">
      <c r="B897" s="40" t="n"/>
      <c r="C897" s="40" t="n"/>
    </row>
    <row r="898">
      <c r="B898" s="40" t="n"/>
      <c r="C898" s="40" t="n"/>
    </row>
    <row r="899">
      <c r="B899" s="40" t="n"/>
      <c r="C899" s="40" t="n"/>
    </row>
    <row r="900">
      <c r="B900" s="40" t="n"/>
      <c r="C900" s="40" t="n"/>
    </row>
    <row r="901">
      <c r="B901" s="40" t="n"/>
      <c r="C901" s="40" t="n"/>
    </row>
    <row r="902">
      <c r="B902" s="40" t="n"/>
      <c r="C902" s="40" t="n"/>
    </row>
    <row r="903">
      <c r="B903" s="40" t="n"/>
      <c r="C903" s="40" t="n"/>
    </row>
    <row r="904">
      <c r="B904" s="40" t="n"/>
      <c r="C904" s="40" t="n"/>
    </row>
    <row r="905">
      <c r="B905" s="40" t="n"/>
      <c r="C905" s="40" t="n"/>
    </row>
    <row r="906">
      <c r="B906" s="40" t="n"/>
      <c r="C906" s="40" t="n"/>
    </row>
    <row r="907">
      <c r="B907" s="40" t="n"/>
      <c r="C907" s="40" t="n"/>
    </row>
    <row r="908">
      <c r="B908" s="40" t="n"/>
      <c r="C908" s="40" t="n"/>
    </row>
    <row r="909">
      <c r="B909" s="40" t="n"/>
      <c r="C909" s="40" t="n"/>
    </row>
    <row r="910">
      <c r="B910" s="40" t="n"/>
      <c r="C910" s="40" t="n"/>
    </row>
    <row r="911">
      <c r="B911" s="40" t="n"/>
      <c r="C911" s="40" t="n"/>
    </row>
    <row r="912">
      <c r="B912" s="40" t="n"/>
      <c r="C912" s="40" t="n"/>
    </row>
    <row r="913">
      <c r="B913" s="40" t="n"/>
      <c r="C913" s="40" t="n"/>
    </row>
    <row r="914">
      <c r="B914" s="40" t="n"/>
      <c r="C914" s="40" t="n"/>
    </row>
    <row r="915">
      <c r="B915" s="40" t="n"/>
      <c r="C915" s="40" t="n"/>
    </row>
    <row r="916">
      <c r="B916" s="40" t="n"/>
      <c r="C916" s="40" t="n"/>
    </row>
    <row r="917">
      <c r="B917" s="40" t="n"/>
      <c r="C917" s="40" t="n"/>
    </row>
    <row r="918">
      <c r="B918" s="40" t="n"/>
      <c r="C918" s="40" t="n"/>
    </row>
    <row r="919">
      <c r="B919" s="40" t="n"/>
      <c r="C919" s="40" t="n"/>
    </row>
    <row r="920">
      <c r="B920" s="40" t="n"/>
      <c r="C920" s="40" t="n"/>
    </row>
    <row r="921">
      <c r="B921" s="40" t="n"/>
      <c r="C921" s="40" t="n"/>
    </row>
    <row r="922">
      <c r="B922" s="40" t="n"/>
      <c r="C922" s="40" t="n"/>
    </row>
    <row r="923">
      <c r="B923" s="40" t="n"/>
      <c r="C923" s="40" t="n"/>
    </row>
    <row r="924">
      <c r="B924" s="40" t="n"/>
      <c r="C924" s="40" t="n"/>
    </row>
    <row r="925">
      <c r="B925" s="40" t="n"/>
      <c r="C925" s="40" t="n"/>
    </row>
    <row r="926">
      <c r="B926" s="40" t="n"/>
      <c r="C926" s="40" t="n"/>
    </row>
    <row r="927">
      <c r="B927" s="40" t="n"/>
      <c r="C927" s="40" t="n"/>
    </row>
    <row r="928">
      <c r="B928" s="40" t="n"/>
      <c r="C928" s="40" t="n"/>
    </row>
    <row r="929">
      <c r="B929" s="40" t="n"/>
      <c r="C929" s="40" t="n"/>
    </row>
    <row r="930">
      <c r="B930" s="40" t="n"/>
      <c r="C930" s="40" t="n"/>
    </row>
    <row r="931">
      <c r="B931" s="40" t="n"/>
      <c r="C931" s="40" t="n"/>
    </row>
    <row r="932">
      <c r="B932" s="40" t="n"/>
      <c r="C932" s="40" t="n"/>
    </row>
    <row r="933">
      <c r="B933" s="40" t="n"/>
      <c r="C933" s="40" t="n"/>
    </row>
    <row r="934">
      <c r="B934" s="40" t="n"/>
      <c r="C934" s="40" t="n"/>
    </row>
    <row r="935">
      <c r="B935" s="40" t="n"/>
      <c r="C935" s="40" t="n"/>
    </row>
    <row r="936">
      <c r="B936" s="40" t="n"/>
      <c r="C936" s="40" t="n"/>
    </row>
    <row r="937">
      <c r="B937" s="40" t="n"/>
      <c r="C937" s="40" t="n"/>
    </row>
    <row r="938">
      <c r="B938" s="40" t="n"/>
      <c r="C938" s="40" t="n"/>
    </row>
    <row r="939">
      <c r="B939" s="40" t="n"/>
      <c r="C939" s="40" t="n"/>
    </row>
    <row r="940">
      <c r="B940" s="40" t="n"/>
      <c r="C940" s="40" t="n"/>
    </row>
    <row r="941">
      <c r="B941" s="40" t="n"/>
      <c r="C941" s="40" t="n"/>
    </row>
    <row r="942">
      <c r="B942" s="40" t="n"/>
      <c r="C942" s="40" t="n"/>
    </row>
    <row r="943">
      <c r="B943" s="40" t="n"/>
      <c r="C943" s="40" t="n"/>
    </row>
    <row r="944">
      <c r="B944" s="40" t="n"/>
      <c r="C944" s="40" t="n"/>
    </row>
    <row r="945">
      <c r="B945" s="40" t="n"/>
      <c r="C945" s="40" t="n"/>
    </row>
    <row r="946">
      <c r="B946" s="40" t="n"/>
      <c r="C946" s="40" t="n"/>
    </row>
    <row r="947">
      <c r="B947" s="40" t="n"/>
      <c r="C947" s="40" t="n"/>
    </row>
    <row r="948">
      <c r="B948" s="40" t="n"/>
      <c r="C948" s="40" t="n"/>
    </row>
    <row r="949">
      <c r="B949" s="40" t="n"/>
      <c r="C949" s="40" t="n"/>
    </row>
    <row r="950">
      <c r="B950" s="40" t="n"/>
      <c r="C950" s="40" t="n"/>
    </row>
    <row r="951">
      <c r="B951" s="40" t="n"/>
      <c r="C951" s="40" t="n"/>
    </row>
    <row r="952">
      <c r="B952" s="40" t="n"/>
      <c r="C952" s="40" t="n"/>
    </row>
    <row r="953">
      <c r="B953" s="40" t="n"/>
      <c r="C953" s="40" t="n"/>
    </row>
    <row r="954">
      <c r="B954" s="40" t="n"/>
      <c r="C954" s="40" t="n"/>
    </row>
    <row r="955">
      <c r="B955" s="40" t="n"/>
      <c r="C955" s="40" t="n"/>
    </row>
    <row r="956">
      <c r="B956" s="40" t="n"/>
      <c r="C956" s="40" t="n"/>
    </row>
    <row r="957">
      <c r="B957" s="40" t="n"/>
      <c r="C957" s="40" t="n"/>
    </row>
    <row r="958">
      <c r="B958" s="40" t="n"/>
      <c r="C958" s="40" t="n"/>
    </row>
    <row r="959">
      <c r="B959" s="40" t="n"/>
      <c r="C959" s="40" t="n"/>
    </row>
    <row r="960">
      <c r="B960" s="40" t="n"/>
      <c r="C960" s="40" t="n"/>
    </row>
    <row r="961">
      <c r="B961" s="40" t="n"/>
      <c r="C961" s="40" t="n"/>
    </row>
    <row r="962">
      <c r="B962" s="40" t="n"/>
      <c r="C962" s="40" t="n"/>
    </row>
    <row r="963">
      <c r="B963" s="40" t="n"/>
      <c r="C963" s="40" t="n"/>
    </row>
    <row r="964">
      <c r="B964" s="40" t="n"/>
      <c r="C964" s="40" t="n"/>
    </row>
    <row r="965">
      <c r="B965" s="40" t="n"/>
      <c r="C965" s="40" t="n"/>
    </row>
    <row r="966">
      <c r="B966" s="40" t="n"/>
      <c r="C966" s="40" t="n"/>
    </row>
    <row r="967">
      <c r="B967" s="40" t="n"/>
      <c r="C967" s="40" t="n"/>
    </row>
    <row r="968">
      <c r="B968" s="40" t="n"/>
      <c r="C968" s="40" t="n"/>
    </row>
    <row r="969">
      <c r="B969" s="40" t="n"/>
      <c r="C969" s="40" t="n"/>
    </row>
    <row r="970">
      <c r="B970" s="40" t="n"/>
      <c r="C970" s="40" t="n"/>
    </row>
    <row r="971">
      <c r="B971" s="40" t="n"/>
      <c r="C971" s="40" t="n"/>
    </row>
    <row r="972">
      <c r="B972" s="40" t="n"/>
      <c r="C972" s="40" t="n"/>
    </row>
    <row r="973">
      <c r="B973" s="40" t="n"/>
      <c r="C973" s="40" t="n"/>
    </row>
    <row r="974">
      <c r="B974" s="40" t="n"/>
      <c r="C974" s="40" t="n"/>
    </row>
    <row r="975">
      <c r="B975" s="40" t="n"/>
      <c r="C975" s="40" t="n"/>
    </row>
    <row r="976">
      <c r="B976" s="40" t="n"/>
      <c r="C976" s="40" t="n"/>
    </row>
    <row r="977">
      <c r="B977" s="40" t="n"/>
      <c r="C977" s="40" t="n"/>
    </row>
    <row r="978">
      <c r="B978" s="40" t="n"/>
      <c r="C978" s="40" t="n"/>
    </row>
    <row r="979">
      <c r="B979" s="40" t="n"/>
      <c r="C979" s="40" t="n"/>
    </row>
    <row r="980">
      <c r="B980" s="40" t="n"/>
      <c r="C980" s="40" t="n"/>
    </row>
    <row r="981">
      <c r="B981" s="40" t="n"/>
      <c r="C981" s="40" t="n"/>
    </row>
    <row r="982">
      <c r="B982" s="40" t="n"/>
      <c r="C982" s="40" t="n"/>
    </row>
    <row r="983">
      <c r="B983" s="40" t="n"/>
      <c r="C983" s="40" t="n"/>
    </row>
    <row r="984">
      <c r="B984" s="40" t="n"/>
      <c r="C984" s="40" t="n"/>
    </row>
    <row r="985">
      <c r="B985" s="40" t="n"/>
      <c r="C985" s="40" t="n"/>
    </row>
    <row r="986">
      <c r="B986" s="40" t="n"/>
      <c r="C986" s="40" t="n"/>
    </row>
    <row r="987">
      <c r="B987" s="40" t="n"/>
      <c r="C987" s="40" t="n"/>
    </row>
    <row r="988">
      <c r="B988" s="40" t="n"/>
      <c r="C988" s="40" t="n"/>
    </row>
    <row r="989">
      <c r="B989" s="40" t="n"/>
      <c r="C989" s="40" t="n"/>
    </row>
    <row r="990">
      <c r="B990" s="40" t="n"/>
      <c r="C990" s="40" t="n"/>
    </row>
    <row r="991">
      <c r="B991" s="40" t="n"/>
      <c r="C991" s="40" t="n"/>
    </row>
    <row r="992">
      <c r="B992" s="40" t="n"/>
      <c r="C992" s="40" t="n"/>
    </row>
  </sheetData>
  <mergeCells count="2">
    <mergeCell ref="E2:G2"/>
    <mergeCell ref="H2:I2"/>
  </mergeCells>
  <hyperlinks>
    <hyperlink ref="C4" location="'DA_LIST_001 Tab Nhận kho'!A1" display="DA_LIST_001 Tab Nhận kho"/>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J997"/>
  <sheetViews>
    <sheetView showGridLines="0"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TC-SHP-L1-001</t>
        </is>
      </c>
      <c r="C2" s="63" t="inlineStr">
        <is>
          <t>DA_LIST_001_Kho / Tổng thể màn hình</t>
        </is>
      </c>
      <c r="D2" s="71" t="inlineStr">
        <is>
          <t>UI</t>
        </is>
      </c>
      <c r="E2" s="71" t="inlineStr">
        <is>
          <t>Medium</t>
        </is>
      </c>
      <c r="F2" s="71" t="inlineStr">
        <is>
          <t>BD:DA_LIST_001_Kho_ListKho; AC-28</t>
        </is>
      </c>
      <c r="G2" s="63" t="inlineStr">
        <is>
          <t>[UI Visual] Check bố cục tổng thể màn Tab A khớp ảnh Figma node 20285:178603.</t>
        </is>
      </c>
      <c r="H2" s="71" t="inlineStr">
        <is>
          <t>Tài xế DR00001 đã đăng nhập Mobile Web E06 (Safari iOS hoặc Chrome Android, viewport 390×844). Ngày hệ thống test cố định là 2026-10-08（木）. Dữ liệu seed có thẻ 倉庫受取 trong khoảng 2026-10-08 đến 2026-10-15.</t>
        </is>
      </c>
      <c r="I2" s="71" t="inlineStr">
        <is>
          <t>1. Bấm tab 「配送一覧」 ở bottom nav
2. Quan sát toàn bộ màn từ trên xuống dưới</t>
        </is>
      </c>
      <c r="J2" s="70" t="inlineStr">
        <is>
          <t>Từ trên xuống dưới: ảnh header ESSTATION kèm chuông thông báo, tiêu đề 「配送一覧」 cùng ô khoảng ngày có icon lịch, thanh tab 「倉庫受取」「未配送」「配送完了」, nút lọc 「ステータス」, ô tìm kiếm placeholder 「倉庫・中継先・納品先拠点名・住所」, danh sách thẻ, bottom nav 5 tab 「ホーム」「マニュアル」「配送一覧」「トラブル」「アカウント」.</t>
        </is>
      </c>
      <c r="K2" s="70" t="inlineStr">
        <is>
          <t>-</t>
        </is>
      </c>
      <c r="L2" s="70" t="inlineStr">
        <is>
          <t>Medium</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TC-SHP-L1-002</t>
        </is>
      </c>
      <c r="C3" s="63" t="inlineStr">
        <is>
          <t>DA_LIST_001_Kho / Tiêu đề header</t>
        </is>
      </c>
      <c r="D3" s="63" t="inlineStr">
        <is>
          <t>UI</t>
        </is>
      </c>
      <c r="E3" s="63" t="inlineStr">
        <is>
          <t>Low</t>
        </is>
      </c>
      <c r="F3" s="63" t="inlineStr">
        <is>
          <t>BD:DA_LIST_001_Kho_ListKho (item 1)</t>
        </is>
      </c>
      <c r="G3" s="63" t="inlineStr">
        <is>
          <t>Check tiêu đề màn hiển thị đúng chữ 「配送一覧」.</t>
        </is>
      </c>
      <c r="H3" s="71" t="inlineStr">
        <is>
          <t>Tài xế DR00001 đã đăng nhập Mobile Web E06 (Safari iOS hoặc Chrome Android, viewport 390×844). Ngày hệ thống test cố định là 2026-10-08（木）. Dữ liệu seed có thẻ 倉庫受取 trong khoảng 2026-10-08 đến 2026-10-15.</t>
        </is>
      </c>
      <c r="I3" s="71" t="inlineStr">
        <is>
          <t>1. Mở màn 配送一覧</t>
        </is>
      </c>
      <c r="J3" s="70" t="inlineStr">
        <is>
          <t>Tiêu đề hiển thị 「配送一覧」 cạnh ô khoảng ngày.</t>
        </is>
      </c>
      <c r="K3" s="70" t="inlineStr">
        <is>
          <t>-</t>
        </is>
      </c>
      <c r="L3" s="70" t="inlineStr">
        <is>
          <t>Low</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TC-SHP-L1-003</t>
        </is>
      </c>
      <c r="C4" s="71" t="inlineStr">
        <is>
          <t>DA_LIST_001_Kho / Date picker 開始日 giá trị mặc định</t>
        </is>
      </c>
      <c r="D4" s="63" t="inlineStr">
        <is>
          <t>UI</t>
        </is>
      </c>
      <c r="E4" s="63" t="inlineStr">
        <is>
          <t>Medium</t>
        </is>
      </c>
      <c r="F4" s="63" t="inlineStr">
        <is>
          <t>AC-28; RQ-C03</t>
        </is>
      </c>
      <c r="G4" s="63" t="inlineStr">
        <is>
          <t>Check giá trị mặc định của 開始日 khi mở Tab A 「倉庫受取」 là ngày hôm nay.</t>
        </is>
      </c>
      <c r="H4" s="63" t="inlineStr">
        <is>
          <t>Tài xế DR00001 đã đăng nhập Mobile Web E06 (Safari iOS hoặc Chrome Android, viewport 390×844). Ngày hệ thống test cố định là 2026-10-08（木）. Đang ở Tab A.</t>
        </is>
      </c>
      <c r="I4" s="71" t="inlineStr">
        <is>
          <t>1. Mở màn 配送一覧 bằng bottom nav 「配送一覧」
2. Quan sát vùng chọn khoảng ngày dưới tiêu đề 「配送一覧」 (vùng 1.1)</t>
        </is>
      </c>
      <c r="J4" s="70" t="inlineStr">
        <is>
          <t>開始日 hiển thị 2026-10-08 (ngày hệ thống hôm nay).</t>
        </is>
      </c>
      <c r="K4" s="70" t="inlineStr">
        <is>
          <t>Hôm nay 2026-10-08</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TC-SHP-L1-004</t>
        </is>
      </c>
      <c r="C5" s="71" t="inlineStr">
        <is>
          <t>DA_LIST_001_Kho / Date picker 終了日 giá trị mặc định</t>
        </is>
      </c>
      <c r="D5" s="63" t="inlineStr">
        <is>
          <t>UI</t>
        </is>
      </c>
      <c r="E5" s="63" t="inlineStr">
        <is>
          <t>Medium</t>
        </is>
      </c>
      <c r="F5" s="63" t="inlineStr">
        <is>
          <t>AC-28; RQ-C03</t>
        </is>
      </c>
      <c r="G5" s="63" t="inlineStr">
        <is>
          <t>Check giá trị mặc định của 終了日 khi mở Tab A 「倉庫受取」 là hôm nay cộng 7 ngày.</t>
        </is>
      </c>
      <c r="H5" s="71" t="inlineStr">
        <is>
          <t>Tài xế DR00001 đã đăng nhập Mobile Web E06 (Safari iOS hoặc Chrome Android, viewport 390×844). Ngày hệ thống test cố định là 2026-10-08（木）. Đang ở Tab A.</t>
        </is>
      </c>
      <c r="I5" s="71" t="inlineStr">
        <is>
          <t>1. Mở màn 配送一覧
2. Quan sát vùng chọn khoảng ngày (vùng 1.2)</t>
        </is>
      </c>
      <c r="J5" s="70" t="inlineStr">
        <is>
          <t>終了日 hiển thị 2026-10-15. Khoảng ngày hiển thị 2026-10-08 đến 2026-10-15.</t>
        </is>
      </c>
      <c r="K5" s="70" t="inlineStr">
        <is>
          <t>Hôm nay 2026-10-08</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TC-SHP-L1-005</t>
        </is>
      </c>
      <c r="C6" s="71" t="inlineStr">
        <is>
          <t>DA_LIST_001_Kho / Date picker 開始日 / 終了日 hiển thị khoảng</t>
        </is>
      </c>
      <c r="D6" s="63" t="inlineStr">
        <is>
          <t>UI</t>
        </is>
      </c>
      <c r="E6" s="63" t="inlineStr">
        <is>
          <t>Low</t>
        </is>
      </c>
      <c r="F6" s="63" t="inlineStr">
        <is>
          <t>BD:DA_LIST_001_Kho_ListKho; AC-28</t>
        </is>
      </c>
      <c r="G6" s="63" t="inlineStr">
        <is>
          <t>[UNCONFIRMED] [UI Visual] Check định dạng hiển thị khoảng ngày trên Figma (một ô có icon lịch) so với Basic Design (hai date picker riêng).</t>
        </is>
      </c>
      <c r="H6" s="71" t="inlineStr">
        <is>
          <t>Tài xế DR00001 đã đăng nhập Mobile Web E06 (Safari iOS hoặc Chrome Android, viewport 390×844). Ngày hệ thống test cố định là 2026-10-08（木）. Đang ở Tab A.</t>
        </is>
      </c>
      <c r="I6" s="71" t="inlineStr">
        <is>
          <t>1. Mở màn 配送一覧
2. Đối chiếu ô khoảng ngày với Figma và Basic Design mục 1.1, 1.2</t>
        </is>
      </c>
      <c r="J6" s="70" t="inlineStr">
        <is>
          <t>Figma hiển thị một ô 「2026-6-12〜2026-6-19」 có icon lịch (ngày không đệm số 0 ở tháng và ngày). Basic Design mô tả hai date picker 開始日 và 終了日. Ghi nhận khác biệt định dạng để BA/FE xác nhận.</t>
        </is>
      </c>
      <c r="K6" s="70" t="inlineStr">
        <is>
          <t>-</t>
        </is>
      </c>
      <c r="L6" s="70" t="inlineStr">
        <is>
          <t>Low</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TC-SHP-L1-006</t>
        </is>
      </c>
      <c r="C7" s="71" t="inlineStr">
        <is>
          <t>DA_LIST_001_Kho / Date picker 開始日 chọn ngày quá khứ</t>
        </is>
      </c>
      <c r="D7" s="63" t="inlineStr">
        <is>
          <t>Behavior</t>
        </is>
      </c>
      <c r="E7" s="63" t="inlineStr">
        <is>
          <t>Medium</t>
        </is>
      </c>
      <c r="F7" s="63" t="inlineStr">
        <is>
          <t>AC-28; RQ-C03</t>
        </is>
      </c>
      <c r="G7" s="63" t="inlineStr">
        <is>
          <t>Check chọn được 開始日 là ngày trong quá khứ và danh sách lọc lại theo khoảng mới.</t>
        </is>
      </c>
      <c r="H7" s="63" t="inlineStr">
        <is>
          <t>Tài xế DR00001 đã đăng nhập Mobile Web E06 (Safari iOS hoặc Chrome Android, viewport 390×844). Ngày hệ thống test cố định là 2026-10-08（木）. Đang ở Tab A.</t>
        </is>
      </c>
      <c r="I7" s="71" t="inlineStr">
        <is>
          <t>1. Mở màn 配送一覧
2. Mở date picker 開始日
3. Chọn 2026-10-01</t>
        </is>
      </c>
      <c r="J7" s="70" t="inlineStr">
        <is>
          <t>開始日 hiển thị 2026-10-01, 終了日 giữ 2026-10-15, không hiện lỗi, danh sách tải lại theo khoảng 2026-10-01 đến 2026-10-15.</t>
        </is>
      </c>
      <c r="K7" s="70" t="inlineStr">
        <is>
          <t>開始日 2026-10-01</t>
        </is>
      </c>
      <c r="L7" s="70" t="inlineStr">
        <is>
          <t>Medium</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TC-SHP-L1-007</t>
        </is>
      </c>
      <c r="C8" s="71" t="inlineStr">
        <is>
          <t>DA_LIST_001_Kho / Date picker 終了日 chọn ngày tương lai hợp lệ</t>
        </is>
      </c>
      <c r="D8" s="63" t="inlineStr">
        <is>
          <t>Behavior</t>
        </is>
      </c>
      <c r="E8" s="63" t="inlineStr">
        <is>
          <t>Medium</t>
        </is>
      </c>
      <c r="F8" s="63" t="inlineStr">
        <is>
          <t>AC-28; AC-29; RQ-C03</t>
        </is>
      </c>
      <c r="G8" s="63" t="inlineStr">
        <is>
          <t>Check chọn được 終了日 là ngày tương lai trong giới hạn 31 ngày và danh sách lọc lại.</t>
        </is>
      </c>
      <c r="H8" s="71" t="inlineStr">
        <is>
          <t>Tài xế DR00001 đã đăng nhập Mobile Web E06 (Safari iOS hoặc Chrome Android, viewport 390×844). Ngày hệ thống test cố định là 2026-10-08（木）. Đang ở Tab A.</t>
        </is>
      </c>
      <c r="I8" s="71" t="inlineStr">
        <is>
          <t>1. Mở màn 配送一覧
2. Mở date picker 終了日
3. Chọn 2026-10-20</t>
        </is>
      </c>
      <c r="J8" s="70" t="inlineStr">
        <is>
          <t>終了日 hiển thị 2026-10-20, không hiện lỗi, danh sách tải lại theo khoảng 2026-10-08 đến 2026-10-20.</t>
        </is>
      </c>
      <c r="K8" s="70" t="inlineStr">
        <is>
          <t>終了日 2026-10-20</t>
        </is>
      </c>
      <c r="L8" s="70" t="inlineStr">
        <is>
          <t>Medium</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TC-SHP-L1-008</t>
        </is>
      </c>
      <c r="C9" s="71" t="inlineStr">
        <is>
          <t>DA_LIST_001_Kho / Date picker 終了日 trùng 開始日 (biên)</t>
        </is>
      </c>
      <c r="D9" s="63" t="inlineStr">
        <is>
          <t>Validate</t>
        </is>
      </c>
      <c r="E9" s="63" t="inlineStr">
        <is>
          <t>Medium</t>
        </is>
      </c>
      <c r="F9" s="63" t="inlineStr">
        <is>
          <t>AC-29; RQ-C04</t>
        </is>
      </c>
      <c r="G9" s="63" t="inlineStr">
        <is>
          <t>Check chọn 終了日 bằng đúng 開始日 được chấp nhận vì ràng buộc là 終了日 lớn hơn hoặc bằng 開始日.</t>
        </is>
      </c>
      <c r="H9" s="71" t="inlineStr">
        <is>
          <t>Tài xế DR00001 đã đăng nhập Mobile Web E06 (Safari iOS hoặc Chrome Android, viewport 390×844). Ngày hệ thống test cố định là 2026-10-08（木）. Đang ở Tab A.</t>
        </is>
      </c>
      <c r="I9" s="63" t="inlineStr">
        <is>
          <t>1. Mở màn 配送一覧
2. Mở date picker 終了日
3. Chọn 2026-10-08</t>
        </is>
      </c>
      <c r="J9" s="70" t="inlineStr">
        <is>
          <t>Không hiện thông báo lỗi. Khoảng ngày 2026-10-08 đến 2026-10-08, danh sách chỉ gồm bản ghi ngày 2026-10-08.</t>
        </is>
      </c>
      <c r="K9" s="70" t="inlineStr">
        <is>
          <t>開始日 2026-10-08, 終了日 2026-10-08</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TC-SHP-L1-009</t>
        </is>
      </c>
      <c r="C10" s="71" t="inlineStr">
        <is>
          <t>DA_LIST_001_Kho / Date picker 終了日 sớm hơn 開始日 1 ngày</t>
        </is>
      </c>
      <c r="D10" s="63" t="inlineStr">
        <is>
          <t>Validate</t>
        </is>
      </c>
      <c r="E10" s="63" t="inlineStr">
        <is>
          <t>High</t>
        </is>
      </c>
      <c r="F10" s="63" t="inlineStr">
        <is>
          <t>AC-29; RQ-C04; E_DALIST001KHO_001</t>
        </is>
      </c>
      <c r="G10" s="63" t="inlineStr">
        <is>
          <t>Check chọn 終了日 trước 開始日 một ngày thì hiện đúng thông báo lỗi ①.</t>
        </is>
      </c>
      <c r="H10" s="71" t="inlineStr">
        <is>
          <t>Tài xế DR00001 đã đăng nhập Mobile Web E06 (Safari iOS hoặc Chrome Android, viewport 390×844). Ngày hệ thống test cố định là 2026-10-08（木）. Đang ở Tab A.</t>
        </is>
      </c>
      <c r="I10" s="63" t="inlineStr">
        <is>
          <t>1. Mở màn 配送一覧
2. Mở date picker 終了日
3. Chọn 2026-10-07</t>
        </is>
      </c>
      <c r="J10" s="70" t="inlineStr">
        <is>
          <t>Hiện lỗi inline nguyên văn 「終了日は開始日以降を選択してください。」 (mã E_DALIST001KHO_001). Người dùng vẫn ở màn 配送一覧.</t>
        </is>
      </c>
      <c r="K10" s="70" t="inlineStr">
        <is>
          <t>終了日 2026-10-07, 開始日 2026-10-08</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TC-SHP-L1-010</t>
        </is>
      </c>
      <c r="C11" s="71" t="inlineStr">
        <is>
          <t>DA_LIST_001_Kho / Date picker 終了日 cách 開始日 đúng 31 ngày (biên)</t>
        </is>
      </c>
      <c r="D11" s="63" t="inlineStr">
        <is>
          <t>Validate</t>
        </is>
      </c>
      <c r="E11" s="63" t="inlineStr">
        <is>
          <t>High</t>
        </is>
      </c>
      <c r="F11" s="63" t="inlineStr">
        <is>
          <t>AC-29; RQ-C04</t>
        </is>
      </c>
      <c r="G11" s="63" t="inlineStr">
        <is>
          <t>Check chọn 終了日 cách 開始日 đúng 31 ngày vẫn được chấp nhận.</t>
        </is>
      </c>
      <c r="H11" s="71" t="inlineStr">
        <is>
          <t>Tài xế DR00001 đã đăng nhập Mobile Web E06 (Safari iOS hoặc Chrome Android, viewport 390×844). Ngày hệ thống test cố định là 2026-10-08（木）. Đang ở Tab A.</t>
        </is>
      </c>
      <c r="I11" s="63" t="inlineStr">
        <is>
          <t>1. Mở màn 配送一覧
2. Mở date picker 終了日
3. Chọn 2026-11-08 (開始日 2026-10-08 cộng 31 ngày)</t>
        </is>
      </c>
      <c r="J11" s="70" t="inlineStr">
        <is>
          <t>Không hiện thông báo lỗi. Danh sách tải lại theo khoảng 2026-10-08 đến 2026-11-08.</t>
        </is>
      </c>
      <c r="K11" s="70" t="inlineStr">
        <is>
          <t>終了日 2026-11-08（日）</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TC-SHP-L1-011</t>
        </is>
      </c>
      <c r="C12" s="71" t="inlineStr">
        <is>
          <t>DA_LIST_001_Kho / Date picker 終了日 cách 開始日 32 ngày (biên)</t>
        </is>
      </c>
      <c r="D12" s="63" t="inlineStr">
        <is>
          <t>Validate</t>
        </is>
      </c>
      <c r="E12" s="63" t="inlineStr">
        <is>
          <t>High</t>
        </is>
      </c>
      <c r="F12" s="63" t="inlineStr">
        <is>
          <t>AC-29; RQ-C04; E_DALIST001KHO_002</t>
        </is>
      </c>
      <c r="G12" s="63" t="inlineStr">
        <is>
          <t>Check chọn 終了日 cách 開始日 32 ngày thì hiện đúng thông báo lỗi ②.</t>
        </is>
      </c>
      <c r="H12" s="71" t="inlineStr">
        <is>
          <t>Tài xế DR00001 đã đăng nhập Mobile Web E06 (Safari iOS hoặc Chrome Android, viewport 390×844). Ngày hệ thống test cố định là 2026-10-08（木）. Đang ở Tab A.</t>
        </is>
      </c>
      <c r="I12" s="63" t="inlineStr">
        <is>
          <t>1. Mở màn 配送一覧
2. Mở date picker 終了日
3. Chọn 2026-11-09 (開始日 2026-10-08 cộng 32 ngày)</t>
        </is>
      </c>
      <c r="J12" s="70" t="inlineStr">
        <is>
          <t>Hiện lỗi inline nguyên văn 「期間は1ヶ月以内で選択してください。」 (mã E_DALIST001KHO_002). Người dùng vẫn ở màn 配送一覧.</t>
        </is>
      </c>
      <c r="K12" s="70" t="inlineStr">
        <is>
          <t>終了日 2026-11-09（月）</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TC-SHP-L1-012</t>
        </is>
      </c>
      <c r="C13" s="71" t="inlineStr">
        <is>
          <t>DA_LIST_001_Kho / Date picker 開始日 sau 終了日</t>
        </is>
      </c>
      <c r="D13" s="63" t="inlineStr">
        <is>
          <t>Validate</t>
        </is>
      </c>
      <c r="E13" s="63" t="inlineStr">
        <is>
          <t>Medium</t>
        </is>
      </c>
      <c r="F13" s="63" t="inlineStr">
        <is>
          <t>AC-29; RQ-C04; E_DALIST001KHO_001</t>
        </is>
      </c>
      <c r="G13" s="63" t="inlineStr">
        <is>
          <t>[UNCONFIRMED] Check chọn 開始日 muộn hơn 終了日 hiện thông báo lỗi ① (Basic Design item 2 nêu lỗi này cho 開始日 nhưng SPEC chỉ ghi lỗi gắn với 終了日).</t>
        </is>
      </c>
      <c r="H13" s="71" t="inlineStr">
        <is>
          <t>Tài xế DR00001 đã đăng nhập Mobile Web E06 (Safari iOS hoặc Chrome Android, viewport 390×844). Ngày hệ thống test cố định là 2026-10-08（木）. Đang ở Tab A.</t>
        </is>
      </c>
      <c r="I13" s="63" t="inlineStr">
        <is>
          <t>1. Mở màn 配送一覧
2. Mở date picker 開始日
3. Chọn 2026-10-20 (muộn hơn 終了日 2026-10-15)</t>
        </is>
      </c>
      <c r="J13" s="70" t="inlineStr">
        <is>
          <t>Hiện lỗi 「終了日は開始日以降を選択してください。」. Vị trí hiển thị lỗi (dưới 開始日 hay 終了日) và việc giữ hay hoàn lại giá trị cần BA xác nhận.</t>
        </is>
      </c>
      <c r="K13" s="70" t="inlineStr">
        <is>
          <t>開始日 2026-10-20</t>
        </is>
      </c>
      <c r="L13" s="70" t="inlineStr">
        <is>
          <t>Medium</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TC-SHP-L1-013</t>
        </is>
      </c>
      <c r="C14" s="71" t="inlineStr">
        <is>
          <t>DA_LIST_001_Kho / Date picker 開始日 làm khoảng vượt 31 ngày</t>
        </is>
      </c>
      <c r="D14" s="63" t="inlineStr">
        <is>
          <t>Validate</t>
        </is>
      </c>
      <c r="E14" s="63" t="inlineStr">
        <is>
          <t>Medium</t>
        </is>
      </c>
      <c r="F14" s="63" t="inlineStr">
        <is>
          <t>AC-29; RQ-C04; E_DALIST001KHO_002</t>
        </is>
      </c>
      <c r="G14" s="63" t="inlineStr">
        <is>
          <t>[UNCONFIRMED] Check chọn 開始日 sớm khiến khoảng vượt 31 ngày thì hiện thông báo lỗi ②.</t>
        </is>
      </c>
      <c r="H14" s="71" t="inlineStr">
        <is>
          <t>Tài xế DR00001 đã đăng nhập Mobile Web E06 (Safari iOS hoặc Chrome Android, viewport 390×844). Ngày hệ thống test cố định là 2026-10-08（木）. Đang ở Tab A.</t>
        </is>
      </c>
      <c r="I14" s="63" t="inlineStr">
        <is>
          <t>1. Mở màn 配送一覧
2. Mở date picker 開始日
3. Chọn 2026-09-01 (cách 終了日 2026-10-15 là 44 ngày)</t>
        </is>
      </c>
      <c r="J14" s="70" t="inlineStr">
        <is>
          <t>Hiện lỗi 「期間は1ヶ月以内で選択してください。」. Vị trí hiển thị lỗi và giá trị sau lỗi cần BA xác nhận.</t>
        </is>
      </c>
      <c r="K14" s="70" t="inlineStr">
        <is>
          <t>開始日 2026-09-01</t>
        </is>
      </c>
      <c r="L14" s="70" t="inlineStr">
        <is>
          <t>Medium</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TC-SHP-L1-014</t>
        </is>
      </c>
      <c r="C15" s="71" t="inlineStr">
        <is>
          <t>DA_LIST_001_Kho / Thông báo lỗi ngày — dạng hiển thị Inline</t>
        </is>
      </c>
      <c r="D15" s="63" t="inlineStr">
        <is>
          <t>UI</t>
        </is>
      </c>
      <c r="E15" s="63" t="inlineStr">
        <is>
          <t>Medium</t>
        </is>
      </c>
      <c r="F15" s="63" t="inlineStr">
        <is>
          <t>AC-29; E_DALIST001KHO_001</t>
        </is>
      </c>
      <c r="G15" s="63" t="inlineStr">
        <is>
          <t>[UNCONFIRMED] Check thông báo lỗi ngày hiển thị dạng inline trên màn, không phải toast hay modal.</t>
        </is>
      </c>
      <c r="H15" s="71" t="inlineStr">
        <is>
          <t>Tài xế DR00001 đã đăng nhập Mobile Web E06 (Safari iOS hoặc Chrome Android, viewport 390×844). Ngày hệ thống test cố định là 2026-10-08（木）. Đang ở Tab A.</t>
        </is>
      </c>
      <c r="I15" s="63" t="inlineStr">
        <is>
          <t>1. Mở màn 配送一覧
2. Chọn 終了日 2026-10-07
3. Quan sát khu vực khoảng ngày</t>
        </is>
      </c>
      <c r="J15" s="70" t="inlineStr">
        <is>
          <t>Dòng lỗi 「終了日は開始日以降を選択してください。」 hiện inline gần khoảng ngày; không có toast, modal hay chuyển màn.</t>
        </is>
      </c>
      <c r="K15" s="70" t="inlineStr">
        <is>
          <t>終了日 2026-10-07</t>
        </is>
      </c>
      <c r="L15" s="70" t="inlineStr">
        <is>
          <t>Medium</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TC-SHP-L1-015</t>
        </is>
      </c>
      <c r="C16" s="71" t="inlineStr">
        <is>
          <t>DA_LIST_001_Kho / Thông báo lỗi ngày — danh sách khi đang lỗi</t>
        </is>
      </c>
      <c r="D16" s="63" t="inlineStr">
        <is>
          <t>Behavior</t>
        </is>
      </c>
      <c r="E16" s="63" t="inlineStr">
        <is>
          <t>Medium</t>
        </is>
      </c>
      <c r="F16" s="63" t="inlineStr">
        <is>
          <t>AC-29; E_DALIST001KHO_001</t>
        </is>
      </c>
      <c r="G16" s="63" t="inlineStr">
        <is>
          <t>[UNCONFIRMED] Check danh sách thẻ không bị lọc theo khoảng ngày không hợp lệ khi đang hiện lỗi.</t>
        </is>
      </c>
      <c r="H16" s="63" t="inlineStr">
        <is>
          <t>Tài xế DR00001 đã đăng nhập Mobile Web E06 (Safari iOS hoặc Chrome Android, viewport 390×844). Ngày hệ thống test cố định là 2026-10-08（木）. Đang ở Tab A.</t>
        </is>
      </c>
      <c r="I16" s="63" t="inlineStr">
        <is>
          <t>1. Mở màn 配送一覧 và ghi lại số thẻ đang hiển thị
2. Chọn 終了日 2026-10-07
3. Quan sát danh sách thẻ</t>
        </is>
      </c>
      <c r="J16" s="70" t="inlineStr">
        <is>
          <t>Danh sách không tải theo khoảng không hợp lệ (giữ khoảng hợp lệ trước đó hoặc theo quyết định BA). Không có thẻ nào thuộc khoảng 2026-10-08 đến 2026-10-07.</t>
        </is>
      </c>
      <c r="K16" s="70" t="inlineStr">
        <is>
          <t>終了日 2026-10-07</t>
        </is>
      </c>
      <c r="L16" s="70" t="inlineStr">
        <is>
          <t>Medium</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TC-SHP-L1-016</t>
        </is>
      </c>
      <c r="C17" s="71" t="inlineStr">
        <is>
          <t>DA_LIST_001_Kho / Thông báo lỗi ngày — tự mất khi sửa hợp lệ</t>
        </is>
      </c>
      <c r="D17" s="63" t="inlineStr">
        <is>
          <t>Behavior</t>
        </is>
      </c>
      <c r="E17" s="63" t="inlineStr">
        <is>
          <t>Medium</t>
        </is>
      </c>
      <c r="F17" s="63" t="inlineStr">
        <is>
          <t>AC-29; RQ-C04</t>
        </is>
      </c>
      <c r="G17" s="63" t="inlineStr">
        <is>
          <t>Check thông báo lỗi biến mất và danh sách tải lại khi người dùng sửa lại 終了日 hợp lệ.</t>
        </is>
      </c>
      <c r="H17" s="63" t="inlineStr">
        <is>
          <t>Tài xế DR00001 đã đăng nhập Mobile Web E06 (Safari iOS hoặc Chrome Android, viewport 390×844). Ngày hệ thống test cố định là 2026-10-08（木）. Đang ở Tab A.</t>
        </is>
      </c>
      <c r="I17" s="63" t="inlineStr">
        <is>
          <t>1. Mở màn 配送一覧
2. Chọn 終了日 2026-10-07 để hiện lỗi
3. Chọn lại 終了日 2026-10-12</t>
        </is>
      </c>
      <c r="J17" s="70" t="inlineStr">
        <is>
          <t>Thông báo lỗi biến mất. Danh sách tải theo khoảng 2026-10-08 đến 2026-10-12.</t>
        </is>
      </c>
      <c r="K17" s="70" t="inlineStr">
        <is>
          <t>終了日 2026-10-07 rồi 2026-10-12</t>
        </is>
      </c>
      <c r="L17" s="70" t="inlineStr">
        <is>
          <t>Medium</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TC-SHP-L1-017</t>
        </is>
      </c>
      <c r="C18" s="71" t="inlineStr">
        <is>
          <t>DA_LIST_001_Kho / Tab bar mặc định</t>
        </is>
      </c>
      <c r="D18" s="63" t="inlineStr">
        <is>
          <t>UI</t>
        </is>
      </c>
      <c r="E18" s="63" t="inlineStr">
        <is>
          <t>High</t>
        </is>
      </c>
      <c r="F18" s="63" t="inlineStr">
        <is>
          <t>AC-28; RQ-C05</t>
        </is>
      </c>
      <c r="G18" s="63" t="inlineStr">
        <is>
          <t>Check khi vào màn từ bottom nav thì Tab A 「倉庫受取」 được chọn sẵn và hiển thị trạng thái đang chọn.</t>
        </is>
      </c>
      <c r="H18" s="63" t="inlineStr">
        <is>
          <t>Tài xế DR00001 đã đăng nhập Mobile Web E06 (Safari iOS hoặc Chrome Android, viewport 390×844). Ngày hệ thống test cố định là 2026-10-08（木）. Dữ liệu seed có thẻ 倉庫受取 trong khoảng 2026-10-08 đến 2026-10-15.</t>
        </is>
      </c>
      <c r="I18" s="63" t="inlineStr">
        <is>
          <t>1. Bấm tab 「配送一覧」 ở bottom nav
2. Quan sát thanh tab</t>
        </is>
      </c>
      <c r="J18" s="70" t="inlineStr">
        <is>
          <t>Tab 「倉庫受取」 ở trạng thái đang chọn (chữ xanh, gạch chân), hai tab 「未配送」「配送完了」 ở trạng thái không chọn. Danh sách hiển thị thẻ 倉庫受取.</t>
        </is>
      </c>
      <c r="K18" s="70" t="inlineStr">
        <is>
          <t>-</t>
        </is>
      </c>
      <c r="L18" s="70" t="inlineStr">
        <is>
          <t>High</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TC-SHP-L1-018</t>
        </is>
      </c>
      <c r="C19" s="71" t="inlineStr">
        <is>
          <t>DA_LIST_001_Kho / Tab bar hiển thị số lượng bên cạnh tên tab</t>
        </is>
      </c>
      <c r="D19" s="63" t="inlineStr">
        <is>
          <t>UI</t>
        </is>
      </c>
      <c r="E19" s="63" t="inlineStr">
        <is>
          <t>Low</t>
        </is>
      </c>
      <c r="F19" s="63" t="inlineStr">
        <is>
          <t>BD:DA_LIST_001_Kho_ListKho (item 4)</t>
        </is>
      </c>
      <c r="G19" s="63" t="inlineStr">
        <is>
          <t>[UNCONFIRMED] Check Figma hiển thị số đếm cạnh tên tab (10, 8, 2) trong khi Basic Design không mô tả số đếm này.</t>
        </is>
      </c>
      <c r="H19" s="71" t="inlineStr">
        <is>
          <t>Tài xế DR00001 đã đăng nhập Mobile Web E06 (Safari iOS hoặc Chrome Android, viewport 390×844). Ngày hệ thống test cố định là 2026-10-08（木）. Dữ liệu seed có thẻ 倉庫受取 trong khoảng 2026-10-08 đến 2026-10-15.</t>
        </is>
      </c>
      <c r="I19" s="63" t="inlineStr">
        <is>
          <t>1. Mở màn 配送一覧
2. Quan sát nhãn ba tab</t>
        </is>
      </c>
      <c r="J19" s="70" t="inlineStr">
        <is>
          <t>Figma hiển thị 「倉庫受取 10」「未配送 8」「配送完了 2」. Cần BA xác nhận số đếm có thuộc phạm vi hay không và đếm theo khoảng ngày hay toàn bộ.</t>
        </is>
      </c>
      <c r="K19" s="70" t="inlineStr">
        <is>
          <t>-</t>
        </is>
      </c>
      <c r="L19" s="70" t="inlineStr">
        <is>
          <t>Low</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TC-SHP-L1-019</t>
        </is>
      </c>
      <c r="C20" s="71" t="inlineStr">
        <is>
          <t>DA_LIST_001_Kho / Tab bar chuyển sang Tab B</t>
        </is>
      </c>
      <c r="D20" s="63" t="inlineStr">
        <is>
          <t>Navigation</t>
        </is>
      </c>
      <c r="E20" s="63" t="inlineStr">
        <is>
          <t>High</t>
        </is>
      </c>
      <c r="F20" s="63" t="inlineStr">
        <is>
          <t>AC-28; RQ-C06</t>
        </is>
      </c>
      <c r="G20" s="63" t="inlineStr">
        <is>
          <t>Check bấm tab 「未配送」 chuyển sang màn Tab B.</t>
        </is>
      </c>
      <c r="H20" s="71" t="inlineStr">
        <is>
          <t>Tài xế DR00001 đã đăng nhập Mobile Web E06 (Safari iOS hoặc Chrome Android, viewport 390×844). Ngày hệ thống test cố định là 2026-10-08（木）. Dữ liệu seed có thẻ 倉庫受取 trong khoảng 2026-10-08 đến 2026-10-15.</t>
        </is>
      </c>
      <c r="I20" s="63" t="inlineStr">
        <is>
          <t>1. Mở màn 配送一覧 (Tab A)
2. Bấm tab 「未配送」</t>
        </is>
      </c>
      <c r="J20" s="70" t="inlineStr">
        <is>
          <t>Hiển thị màn DA_LIST_002_ES, tab 「未配送」 ở trạng thái chọn.</t>
        </is>
      </c>
      <c r="K20" s="70" t="inlineStr">
        <is>
          <t>-</t>
        </is>
      </c>
      <c r="L20" s="70" t="inlineStr">
        <is>
          <t>High</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TC-SHP-L1-020</t>
        </is>
      </c>
      <c r="C21" s="71" t="inlineStr">
        <is>
          <t>DA_LIST_001_Kho / Tab bar chuyển sang Tab C</t>
        </is>
      </c>
      <c r="D21" s="63" t="inlineStr">
        <is>
          <t>Navigation</t>
        </is>
      </c>
      <c r="E21" s="63" t="inlineStr">
        <is>
          <t>High</t>
        </is>
      </c>
      <c r="F21" s="63" t="inlineStr">
        <is>
          <t>AC-28; RQ-C07</t>
        </is>
      </c>
      <c r="G21" s="63" t="inlineStr">
        <is>
          <t>Check bấm tab 「配送完了」 chuyển sang màn Tab C.</t>
        </is>
      </c>
      <c r="H21" s="71" t="inlineStr">
        <is>
          <t>Tài xế DR00001 đã đăng nhập Mobile Web E06 (Safari iOS hoặc Chrome Android, viewport 390×844). Ngày hệ thống test cố định là 2026-10-08（木）. Dữ liệu seed có thẻ 倉庫受取 trong khoảng 2026-10-08 đến 2026-10-15.</t>
        </is>
      </c>
      <c r="I21" s="63" t="inlineStr">
        <is>
          <t>1. Mở màn 配送一覧 (Tab A)
2. Bấm tab 「配送完了」</t>
        </is>
      </c>
      <c r="J21" s="70" t="inlineStr">
        <is>
          <t>Hiển thị màn DA_LIST_003_COOL, tab 「配送完了」 ở trạng thái chọn.</t>
        </is>
      </c>
      <c r="K21" s="70" t="inlineStr">
        <is>
          <t>-</t>
        </is>
      </c>
      <c r="L21" s="70" t="inlineStr">
        <is>
          <t>High</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TC-SHP-L1-021</t>
        </is>
      </c>
      <c r="C22" s="71" t="inlineStr">
        <is>
          <t>DA_LIST_001_Kho / Tab bar bấm lại Tab A đang chọn</t>
        </is>
      </c>
      <c r="D22" s="63" t="inlineStr">
        <is>
          <t>Navigation</t>
        </is>
      </c>
      <c r="E22" s="63" t="inlineStr">
        <is>
          <t>Low</t>
        </is>
      </c>
      <c r="F22" s="63" t="inlineStr">
        <is>
          <t>BD:DA_LIST_001_Kho_ListKho (item 4)</t>
        </is>
      </c>
      <c r="G22" s="63" t="inlineStr">
        <is>
          <t>Check bấm lại tab 「倉庫受取」 khi đang ở Tab A thì giữ nguyên màn hiện tại.</t>
        </is>
      </c>
      <c r="H22" s="71" t="inlineStr">
        <is>
          <t>Tài xế DR00001 đã đăng nhập Mobile Web E06 (Safari iOS hoặc Chrome Android, viewport 390×844). Ngày hệ thống test cố định là 2026-10-08（木）. Dữ liệu seed có thẻ 倉庫受取 trong khoảng 2026-10-08 đến 2026-10-15.</t>
        </is>
      </c>
      <c r="I22" s="63" t="inlineStr">
        <is>
          <t>1. Mở màn 配送一覧 (Tab A)
2. Bấm tab 「倉庫受取」</t>
        </is>
      </c>
      <c r="J22" s="70" t="inlineStr">
        <is>
          <t>Giữ nguyên màn DA_LIST_001_Kho, không tải sang màn khác, bộ lọc hiện tại không bị xoá.</t>
        </is>
      </c>
      <c r="K22" s="70" t="inlineStr">
        <is>
          <t>-</t>
        </is>
      </c>
      <c r="L22" s="70" t="inlineStr">
        <is>
          <t>Low</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TC-SHP-L1-022</t>
        </is>
      </c>
      <c r="C23" s="71" t="inlineStr">
        <is>
          <t>DA_LIST_001_Kho / Giữ khoảng ngày khi đổi tab</t>
        </is>
      </c>
      <c r="D23" s="63" t="inlineStr">
        <is>
          <t>Behavior</t>
        </is>
      </c>
      <c r="E23" s="63" t="inlineStr">
        <is>
          <t>Medium</t>
        </is>
      </c>
      <c r="F23" s="63" t="inlineStr">
        <is>
          <t>RQ-C04; BD:DA_LIST_002_ES_ListES (Logic chung)</t>
        </is>
      </c>
      <c r="G23" s="71" t="inlineStr">
        <is>
          <t>[UNCONFIRMED] Check khoảng ngày đã chọn có được giữ khi chuyển từ Tab A sang Tab B hay không.</t>
        </is>
      </c>
      <c r="H23" s="71" t="inlineStr">
        <is>
          <t>Tài xế DR00001 đã đăng nhập Mobile Web E06 (Safari iOS hoặc Chrome Android, viewport 390×844). Ngày hệ thống test cố định là 2026-10-08（木）. Dữ liệu seed có thẻ 倉庫受取 trong khoảng 2026-10-08 đến 2026-10-15.</t>
        </is>
      </c>
      <c r="I23" s="71" t="inlineStr">
        <is>
          <t>1. Mở Tab A, chọn 終了日 2026-10-20
2. Bấm tab 「未配送」
3. Quan sát ô khoảng ngày</t>
        </is>
      </c>
      <c r="J23" s="70" t="inlineStr">
        <is>
          <t>Tài liệu chưa nêu rõ khoảng ngày giữ hay đặt lại mặc định khi đổi tab. Ghi nhận hiển thị thực tế (2026-10-08 đến 2026-10-20 hoặc 2026-10-08 đến 2026-10-15) để BA xác nhận.</t>
        </is>
      </c>
      <c r="K23" s="70" t="inlineStr">
        <is>
          <t>終了日 2026-10-20</t>
        </is>
      </c>
      <c r="L23" s="70" t="inlineStr">
        <is>
          <t>Medium</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TC-SHP-L1-023</t>
        </is>
      </c>
      <c r="C24" s="71" t="inlineStr">
        <is>
          <t>DA_LIST_001_Kho / Dropdown trạng thái giá trị mặc định</t>
        </is>
      </c>
      <c r="D24" s="71" t="inlineStr">
        <is>
          <t>UI</t>
        </is>
      </c>
      <c r="E24" s="71" t="inlineStr">
        <is>
          <t>Medium</t>
        </is>
      </c>
      <c r="F24" s="71" t="inlineStr">
        <is>
          <t>AC-30; RQ-C08</t>
        </is>
      </c>
      <c r="G24" s="71" t="inlineStr">
        <is>
          <t>Check dropdown trạng thái ở trạng thái chưa chọn và danh sách hiển thị tất cả thẻ.</t>
        </is>
      </c>
      <c r="H24" s="71" t="inlineStr">
        <is>
          <t>Tài xế DR00001 đã đăng nhập Mobile Web E06 (Safari iOS hoặc Chrome Android, viewport 390×844). Ngày hệ thống test cố định là 2026-10-08（木）. Dữ liệu seed có thẻ 倉庫受取 trong khoảng 2026-10-08 đến 2026-10-15.</t>
        </is>
      </c>
      <c r="I24" s="71" t="inlineStr">
        <is>
          <t>1. Mở màn 配送一覧 (Tab A)
2. Quan sát nút lọc 「ステータス」 và danh sách</t>
        </is>
      </c>
      <c r="J24" s="70" t="inlineStr">
        <is>
          <t>Nút lọc hiển thị nhãn 「ステータス」 (chưa chọn). Danh sách gồm thẻ 未受取, 受取済 và トラブル.</t>
        </is>
      </c>
      <c r="K24" s="70" t="inlineStr">
        <is>
          <t>-</t>
        </is>
      </c>
      <c r="L24" s="70" t="inlineStr">
        <is>
          <t>High</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TC-SHP-L1-024</t>
        </is>
      </c>
      <c r="C25" s="71" t="inlineStr">
        <is>
          <t>DA_LIST_001_Kho / Dropdown trạng thái danh sách lựa chọn</t>
        </is>
      </c>
      <c r="D25" s="71" t="inlineStr">
        <is>
          <t>UI</t>
        </is>
      </c>
      <c r="E25" s="71" t="inlineStr">
        <is>
          <t>Medium</t>
        </is>
      </c>
      <c r="F25" s="71" t="inlineStr">
        <is>
          <t>AC-30; RQ-C08</t>
        </is>
      </c>
      <c r="G25" s="71" t="inlineStr">
        <is>
          <t>Check dropdown trạng thái có đúng ba lựa chọn.</t>
        </is>
      </c>
      <c r="H25" s="71" t="inlineStr">
        <is>
          <t>Tài xế DR00001 đã đăng nhập Mobile Web E06 (Safari iOS hoặc Chrome Android, viewport 390×844). Ngày hệ thống test cố định là 2026-10-08（木）. Dữ liệu seed có thẻ 倉庫受取 trong khoảng 2026-10-08 đến 2026-10-15.</t>
        </is>
      </c>
      <c r="I25" s="71" t="inlineStr">
        <is>
          <t>1. Mở màn 配送一覧 (Tab A)
2. Bấm nút lọc 「ステータス」</t>
        </is>
      </c>
      <c r="J25" s="70" t="inlineStr">
        <is>
          <t>Hiển thị đúng 3 lựa chọn 「未受取」「受取済」「トラブル」, không có lựa chọn khác.</t>
        </is>
      </c>
      <c r="K25" s="70" t="inlineStr">
        <is>
          <t>-</t>
        </is>
      </c>
      <c r="L25" s="70" t="inlineStr">
        <is>
          <t>Medium</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TC-SHP-L1-025</t>
        </is>
      </c>
      <c r="C26" s="70" t="inlineStr">
        <is>
          <t>DA_LIST_001_Kho / Dropdown trạng thái chọn 未受取</t>
        </is>
      </c>
      <c r="D26" s="70" t="inlineStr">
        <is>
          <t>Behavior</t>
        </is>
      </c>
      <c r="E26" s="70" t="inlineStr">
        <is>
          <t>High</t>
        </is>
      </c>
      <c r="F26" s="70" t="inlineStr">
        <is>
          <t>AC-30; RQ-C08</t>
        </is>
      </c>
      <c r="G26" s="70" t="inlineStr">
        <is>
          <t>Check chọn 「未受取」 trong dropdown thì danh sách chỉ còn thẻ có badge 未受取 màu cam.</t>
        </is>
      </c>
      <c r="H26" s="70" t="inlineStr">
        <is>
          <t>Tài xế DR00001 đã đăng nhập Mobile Web E06 (Safari iOS hoặc Chrome Android, viewport 390×844). Ngày hệ thống test cố định là 2026-10-08（木）. Dữ liệu seed có thẻ 倉庫受取 trong khoảng 2026-10-08 đến 2026-10-15.</t>
        </is>
      </c>
      <c r="I26" s="70" t="inlineStr">
        <is>
          <t>1. Mở màn 配送一覧 (Tab A)
2. Bấm nút lọc 「ステータス」
3. Chọn 「未受取」</t>
        </is>
      </c>
      <c r="J26" s="70" t="inlineStr">
        <is>
          <t>Danh sách chỉ hiển thị thẻ có badge 「未受取」. Không còn thẻ trạng thái khác.</t>
        </is>
      </c>
      <c r="K26" s="70" t="inlineStr">
        <is>
          <t>Lọc 未受取</t>
        </is>
      </c>
      <c r="L26" s="70" t="inlineStr">
        <is>
          <t>High</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TC-SHP-L1-026</t>
        </is>
      </c>
      <c r="C27" s="70" t="inlineStr">
        <is>
          <t>DA_LIST_001_Kho / Dropdown trạng thái chọn 受取済</t>
        </is>
      </c>
      <c r="D27" s="70" t="inlineStr">
        <is>
          <t>Behavior</t>
        </is>
      </c>
      <c r="E27" s="70" t="inlineStr">
        <is>
          <t>High</t>
        </is>
      </c>
      <c r="F27" s="70" t="inlineStr">
        <is>
          <t>AC-30; RQ-C08</t>
        </is>
      </c>
      <c r="G27" s="70" t="inlineStr">
        <is>
          <t>Check chọn 「受取済」 trong dropdown thì danh sách chỉ còn thẻ có badge 受取済 màu xanh lá.</t>
        </is>
      </c>
      <c r="H27" s="70" t="inlineStr">
        <is>
          <t>Tài xế DR00001 đã đăng nhập Mobile Web E06 (Safari iOS hoặc Chrome Android, viewport 390×844). Ngày hệ thống test cố định là 2026-10-08（木）. Dữ liệu seed có thẻ 倉庫受取 trong khoảng 2026-10-08 đến 2026-10-15.</t>
        </is>
      </c>
      <c r="I27" s="70" t="inlineStr">
        <is>
          <t>1. Mở màn 配送一覧 (Tab A)
2. Bấm nút lọc 「ステータス」
3. Chọn 「受取済」</t>
        </is>
      </c>
      <c r="J27" s="70" t="inlineStr">
        <is>
          <t>Danh sách chỉ hiển thị thẻ có badge 「受取済」. Không còn thẻ trạng thái khác.</t>
        </is>
      </c>
      <c r="K27" s="70" t="inlineStr">
        <is>
          <t>Lọc 受取済</t>
        </is>
      </c>
      <c r="L27" s="70" t="inlineStr">
        <is>
          <t>High</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TC-SHP-L1-027</t>
        </is>
      </c>
      <c r="C28" s="70" t="inlineStr">
        <is>
          <t>DA_LIST_001_Kho / Dropdown trạng thái chọn トラブル</t>
        </is>
      </c>
      <c r="D28" s="70" t="inlineStr">
        <is>
          <t>Behavior</t>
        </is>
      </c>
      <c r="E28" s="70" t="inlineStr">
        <is>
          <t>High</t>
        </is>
      </c>
      <c r="F28" s="70" t="inlineStr">
        <is>
          <t>AC-30; RQ-C08</t>
        </is>
      </c>
      <c r="G28" s="75" t="inlineStr">
        <is>
          <t>Check chọn 「トラブル」 trong dropdown thì danh sách chỉ còn thẻ có badge トラブル màu đỏ.</t>
        </is>
      </c>
      <c r="H28" s="70" t="inlineStr">
        <is>
          <t>Tài xế DR00001 đã đăng nhập Mobile Web E06 (Safari iOS hoặc Chrome Android, viewport 390×844). Ngày hệ thống test cố định là 2026-10-08（木）. Dữ liệu seed có thẻ 倉庫受取 trong khoảng 2026-10-08 đến 2026-10-15.</t>
        </is>
      </c>
      <c r="I28" s="70" t="inlineStr">
        <is>
          <t>1. Mở màn 配送一覧 (Tab A)
2. Bấm nút lọc 「ステータス」
3. Chọn 「トラブル」</t>
        </is>
      </c>
      <c r="J28" s="70" t="inlineStr">
        <is>
          <t>Danh sách chỉ hiển thị thẻ có badge 「トラブル」. Không còn thẻ trạng thái khác.</t>
        </is>
      </c>
      <c r="K28" s="70" t="inlineStr">
        <is>
          <t>Lọc トラブル</t>
        </is>
      </c>
      <c r="L28" s="70" t="inlineStr">
        <is>
          <t>High</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TC-SHP-L1-028</t>
        </is>
      </c>
      <c r="C29" s="70" t="inlineStr">
        <is>
          <t>DA_LIST_001_Kho / Dropdown trạng thái chọn đơn</t>
        </is>
      </c>
      <c r="D29" s="70" t="inlineStr">
        <is>
          <t>Behavior</t>
        </is>
      </c>
      <c r="E29" s="70" t="inlineStr">
        <is>
          <t>Medium</t>
        </is>
      </c>
      <c r="F29" s="70" t="inlineStr">
        <is>
          <t>AC-30; RQ-C08</t>
        </is>
      </c>
      <c r="G29" s="75" t="inlineStr">
        <is>
          <t>Check dropdown chọn đơn, chọn lựa chọn thứ hai thì thay thế lựa chọn thứ nhất.</t>
        </is>
      </c>
      <c r="H29" s="70" t="inlineStr">
        <is>
          <t>Tài xế DR00001 đã đăng nhập Mobile Web E06 (Safari iOS hoặc Chrome Android, viewport 390×844). Ngày hệ thống test cố định là 2026-10-08（木）. Dữ liệu seed có thẻ 倉庫受取 trong khoảng 2026-10-08 đến 2026-10-15.</t>
        </is>
      </c>
      <c r="I29" s="75" t="inlineStr">
        <is>
          <t>1. Mở Tab A, chọn 「未受取」
2. Mở lại dropdown, chọn 「トラブル」</t>
        </is>
      </c>
      <c r="J29" s="70" t="inlineStr">
        <is>
          <t>Chỉ còn 「トラブル」 được chọn, danh sách chỉ có thẻ トラブル, không cộng dồn thẻ 未受取.</t>
        </is>
      </c>
      <c r="K29" s="70" t="inlineStr">
        <is>
          <t>未受取 rồi トラブル</t>
        </is>
      </c>
      <c r="L29" s="70" t="inlineStr">
        <is>
          <t>Medium</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TC-SHP-L1-029</t>
        </is>
      </c>
      <c r="C30" s="70" t="inlineStr">
        <is>
          <t>DA_LIST_001_Kho / Dropdown trạng thái bỏ chọn</t>
        </is>
      </c>
      <c r="D30" s="70" t="inlineStr">
        <is>
          <t>Behavior</t>
        </is>
      </c>
      <c r="E30" s="70" t="inlineStr">
        <is>
          <t>Medium</t>
        </is>
      </c>
      <c r="F30" s="70" t="inlineStr">
        <is>
          <t>AC-30; RQ-C08</t>
        </is>
      </c>
      <c r="G30" s="75" t="inlineStr">
        <is>
          <t>Check bỏ chọn trạng thái thì danh sách hiển thị lại tất cả.</t>
        </is>
      </c>
      <c r="H30" s="70" t="inlineStr">
        <is>
          <t>Tài xế DR00001 đã đăng nhập Mobile Web E06 (Safari iOS hoặc Chrome Android, viewport 390×844). Ngày hệ thống test cố định là 2026-10-08（木）. Dữ liệu seed có thẻ 倉庫受取 trong khoảng 2026-10-08 đến 2026-10-15.</t>
        </is>
      </c>
      <c r="I30" s="75" t="inlineStr">
        <is>
          <t>1. Mở Tab A, chọn 「受取済」
2. Bỏ chọn 「受取済」 trong dropdown</t>
        </is>
      </c>
      <c r="J30" s="75" t="inlineStr">
        <is>
          <t>Nút lọc về 「ステータス」 và danh sách hiển thị lại tất cả thẻ 未受取, 受取済, トラブル.</t>
        </is>
      </c>
      <c r="K30" s="75" t="inlineStr">
        <is>
          <t>受取済</t>
        </is>
      </c>
      <c r="L30" s="75" t="inlineStr">
        <is>
          <t>Medium</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TC-SHP-L1-030</t>
        </is>
      </c>
      <c r="C31" s="74" t="inlineStr">
        <is>
          <t>DA_LIST_001_Kho / Ô tìm kiếm trạng thái ban đầu</t>
        </is>
      </c>
      <c r="D31" s="70" t="inlineStr">
        <is>
          <t>UI</t>
        </is>
      </c>
      <c r="E31" s="70" t="inlineStr">
        <is>
          <t>Medium</t>
        </is>
      </c>
      <c r="F31" s="70" t="inlineStr">
        <is>
          <t>AC-31; RQ-C09</t>
        </is>
      </c>
      <c r="G31" s="70" t="inlineStr">
        <is>
          <t>Check ô tìm kiếm Tab A để trống và hiện placeholder, kèm icon kính lúp.</t>
        </is>
      </c>
      <c r="H31" s="70" t="inlineStr">
        <is>
          <t>Tài xế DR00001 đã đăng nhập Mobile Web E06 (Safari iOS hoặc Chrome Android, viewport 390×844). Ngày hệ thống test cố định là 2026-10-08（木）. Dữ liệu seed có thẻ 倉庫受取 trong khoảng 2026-10-08 đến 2026-10-15.</t>
        </is>
      </c>
      <c r="I31" s="70" t="inlineStr">
        <is>
          <t>1. Mở màn 配送一覧 (Tab A)
2. Quan sát ô tìm kiếm</t>
        </is>
      </c>
      <c r="J31" s="70" t="inlineStr">
        <is>
          <t>Ô trống, placeholder 「倉庫・中継先・納品先拠点名・住所」, icon kính lúp bên phải.</t>
        </is>
      </c>
      <c r="K31" s="70" t="inlineStr">
        <is>
          <t>-</t>
        </is>
      </c>
      <c r="L31" s="70" t="inlineStr">
        <is>
          <t>Medium</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TC-SHP-L1-031</t>
        </is>
      </c>
      <c r="C32" s="74" t="inlineStr">
        <is>
          <t>DA_LIST_001_Kho / Ô tìm kiếm lọc realtime khi gõ</t>
        </is>
      </c>
      <c r="D32" s="70" t="inlineStr">
        <is>
          <t>Behavior</t>
        </is>
      </c>
      <c r="E32" s="70" t="inlineStr">
        <is>
          <t>High</t>
        </is>
      </c>
      <c r="F32" s="70" t="inlineStr">
        <is>
          <t>AC-31; RQ-C09</t>
        </is>
      </c>
      <c r="G32" s="70" t="inlineStr">
        <is>
          <t>Check Tab A lọc danh sách ngay khi gõ, không cần bấm Enter.</t>
        </is>
      </c>
      <c r="H32" s="70" t="inlineStr">
        <is>
          <t>Tài xế DR00001 đã đăng nhập Mobile Web E06 (Safari iOS hoặc Chrome Android, viewport 390×844). Ngày hệ thống test cố định là 2026-10-08（木）. Dữ liệu seed có thẻ 倉庫受取 trong khoảng 2026-10-08 đến 2026-10-15.</t>
        </is>
      </c>
      <c r="I32" s="70" t="inlineStr">
        <is>
          <t>1. Mở màn 配送一覧 (Tab A)
2. Gõ 「オージー」 vào ô tìm kiếm, không bấm Enter</t>
        </is>
      </c>
      <c r="J32" s="70" t="inlineStr">
        <is>
          <t>Danh sách tự lọc chỉ còn thẻ có tên kho chứa 「オージー」 ngay khi gõ.</t>
        </is>
      </c>
      <c r="K32" s="70" t="inlineStr">
        <is>
          <t>オージー</t>
        </is>
      </c>
      <c r="L32" s="70" t="inlineStr">
        <is>
          <t>High</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TC-SHP-L1-032</t>
        </is>
      </c>
      <c r="C33" s="74" t="inlineStr">
        <is>
          <t>DA_LIST_001_Kho / Ô tìm kiếm khớp 倉庫名</t>
        </is>
      </c>
      <c r="D33" s="70" t="inlineStr">
        <is>
          <t>Behavior</t>
        </is>
      </c>
      <c r="E33" s="70" t="inlineStr">
        <is>
          <t>High</t>
        </is>
      </c>
      <c r="F33" s="70" t="inlineStr">
        <is>
          <t>AC-31; RQ-C09</t>
        </is>
      </c>
      <c r="G33" s="75" t="inlineStr">
        <is>
          <t>Check tìm kiếm khớp một phần theo tên kho (倉庫名).</t>
        </is>
      </c>
      <c r="H33" s="70" t="inlineStr">
        <is>
          <t>Tài xế DR00001 đã đăng nhập Mobile Web E06 (Safari iOS hoặc Chrome Android, viewport 390×844). Ngày hệ thống test cố định là 2026-10-08（木）. Dữ liệu seed có thẻ 倉庫受取 trong khoảng 2026-10-08 đến 2026-10-15.</t>
        </is>
      </c>
      <c r="I33" s="75" t="inlineStr">
        <is>
          <t>1. Mở màn 配送一覧 (Tab A)
2. Gõ 「オージーフーズ倉庫」 vào ô tìm kiếm</t>
        </is>
      </c>
      <c r="J33" s="70" t="inlineStr">
        <is>
          <t>Danh sách chỉ còn thẻ có 倉庫名 chứa chuỗi vừa gõ; thẻ không khớp bị ẩn.</t>
        </is>
      </c>
      <c r="K33" s="70" t="inlineStr">
        <is>
          <t>オージーフーズ倉庫</t>
        </is>
      </c>
      <c r="L33" s="70" t="inlineStr">
        <is>
          <t>High</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TC-SHP-L1-033</t>
        </is>
      </c>
      <c r="C34" s="74" t="inlineStr">
        <is>
          <t>DA_LIST_001_Kho / Ô tìm kiếm khớp 中継先</t>
        </is>
      </c>
      <c r="D34" s="70" t="inlineStr">
        <is>
          <t>Behavior</t>
        </is>
      </c>
      <c r="E34" s="70" t="inlineStr">
        <is>
          <t>High</t>
        </is>
      </c>
      <c r="F34" s="70" t="inlineStr">
        <is>
          <t>AC-31; RQ-C09</t>
        </is>
      </c>
      <c r="G34" s="75" t="inlineStr">
        <is>
          <t>Check tìm kiếm khớp một phần theo tên trung chuyển (中継先).</t>
        </is>
      </c>
      <c r="H34" s="70" t="inlineStr">
        <is>
          <t>Tài xế DR00001 đã đăng nhập Mobile Web E06 (Safari iOS hoặc Chrome Android, viewport 390×844). Ngày hệ thống test cố định là 2026-10-08（木）. Dữ liệu seed có thẻ 倉庫受取 trong khoảng 2026-10-08 đến 2026-10-15.</t>
        </is>
      </c>
      <c r="I34" s="75" t="inlineStr">
        <is>
          <t>1. Mở màn 配送一覧 (Tab A)
2. Gõ 「QC_中継センター東」 vào ô tìm kiếm</t>
        </is>
      </c>
      <c r="J34" s="70" t="inlineStr">
        <is>
          <t>Danh sách chỉ còn thẻ có 中継先 chứa chuỗi vừa gõ; thẻ không khớp bị ẩn.</t>
        </is>
      </c>
      <c r="K34" s="70" t="inlineStr">
        <is>
          <t>QC_中継センター東</t>
        </is>
      </c>
      <c r="L34" s="70" t="inlineStr">
        <is>
          <t>High</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TC-SHP-L1-034</t>
        </is>
      </c>
      <c r="C35" s="70" t="inlineStr">
        <is>
          <t>DA_LIST_001_Kho / Ô tìm kiếm khớp 納品先拠点名</t>
        </is>
      </c>
      <c r="D35" s="70" t="inlineStr">
        <is>
          <t>Behavior</t>
        </is>
      </c>
      <c r="E35" s="70" t="inlineStr">
        <is>
          <t>High</t>
        </is>
      </c>
      <c r="F35" s="70" t="inlineStr">
        <is>
          <t>AC-31; RQ-C09</t>
        </is>
      </c>
      <c r="G35" s="75" t="inlineStr">
        <is>
          <t>Check tìm kiếm khớp một phần theo tên điểm giao (納品先拠点名).</t>
        </is>
      </c>
      <c r="H35" s="70" t="inlineStr">
        <is>
          <t>Tài xế DR00001 đã đăng nhập Mobile Web E06 (Safari iOS hoặc Chrome Android, viewport 390×844). Ngày hệ thống test cố định là 2026-10-08（木）. Dữ liệu seed có thẻ 倉庫受取 trong khoảng 2026-10-08 đến 2026-10-15.</t>
        </is>
      </c>
      <c r="I35" s="75" t="inlineStr">
        <is>
          <t>1. Mở màn 配送一覧 (Tab A)
2. Gõ 「大和インターナショナ」 vào ô tìm kiếm</t>
        </is>
      </c>
      <c r="J35" s="75" t="inlineStr">
        <is>
          <t>Danh sách chỉ còn thẻ có 納品先拠点名 chứa chuỗi vừa gõ; thẻ không khớp bị ẩn.</t>
        </is>
      </c>
      <c r="K35" s="75" t="inlineStr">
        <is>
          <t>大和インターナショナ</t>
        </is>
      </c>
      <c r="L35" s="75" t="inlineStr">
        <is>
          <t>High</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TC-SHP-L1-035</t>
        </is>
      </c>
      <c r="C36" s="70" t="inlineStr">
        <is>
          <t>DA_LIST_001_Kho / Ô tìm kiếm khớp 住所</t>
        </is>
      </c>
      <c r="D36" s="70" t="inlineStr">
        <is>
          <t>Behavior</t>
        </is>
      </c>
      <c r="E36" s="70" t="inlineStr">
        <is>
          <t>High</t>
        </is>
      </c>
      <c r="F36" s="70" t="inlineStr">
        <is>
          <t>AC-31; RQ-C09</t>
        </is>
      </c>
      <c r="G36" s="75" t="inlineStr">
        <is>
          <t>Check tìm kiếm khớp một phần theo địa chỉ (住所).</t>
        </is>
      </c>
      <c r="H36" s="75" t="inlineStr">
        <is>
          <t>Tài xế DR00001 đã đăng nhập Mobile Web E06 (Safari iOS hoặc Chrome Android, viewport 390×844). Ngày hệ thống test cố định là 2026-10-08（木）. Dữ liệu seed có thẻ 倉庫受取 trong khoảng 2026-10-08 đến 2026-10-15.</t>
        </is>
      </c>
      <c r="I36" s="75" t="inlineStr">
        <is>
          <t>1. Mở màn 配送一覧 (Tab A)
2. Gõ 「渋谷区1-2-3」 vào ô tìm kiếm</t>
        </is>
      </c>
      <c r="J36" s="75" t="inlineStr">
        <is>
          <t>Danh sách chỉ còn thẻ có 住所 chứa chuỗi vừa gõ; thẻ không khớp bị ẩn.</t>
        </is>
      </c>
      <c r="K36" s="75" t="inlineStr">
        <is>
          <t>渋谷区1-2-3</t>
        </is>
      </c>
      <c r="L36" s="75" t="inlineStr">
        <is>
          <t>High</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TC-SHP-L1-036</t>
        </is>
      </c>
      <c r="C37" s="70" t="inlineStr">
        <is>
          <t>DA_LIST_001_Kho / Ô tìm kiếm xóa chữ hiện lại toàn bộ</t>
        </is>
      </c>
      <c r="D37" s="70" t="inlineStr">
        <is>
          <t>Behavior</t>
        </is>
      </c>
      <c r="E37" s="70" t="inlineStr">
        <is>
          <t>High</t>
        </is>
      </c>
      <c r="F37" s="70" t="inlineStr">
        <is>
          <t>AC-31; RQ-C09</t>
        </is>
      </c>
      <c r="G37" s="75" t="inlineStr">
        <is>
          <t>Check xóa nội dung ô tìm kiếm thì danh sách hiện lại toàn bộ thẻ.</t>
        </is>
      </c>
      <c r="H37" s="75" t="inlineStr">
        <is>
          <t>Tài xế DR00001 đã đăng nhập Mobile Web E06 (Safari iOS hoặc Chrome Android, viewport 390×844). Ngày hệ thống test cố định là 2026-10-08（木）. Dữ liệu seed có thẻ 倉庫受取 trong khoảng 2026-10-08 đến 2026-10-15.</t>
        </is>
      </c>
      <c r="I37" s="75" t="inlineStr">
        <is>
          <t>1. Mở Tab A, gõ 「オージー」
2. Xóa toàn bộ chữ trong ô tìm kiếm</t>
        </is>
      </c>
      <c r="J37" s="75" t="inlineStr">
        <is>
          <t>Danh sách hiển thị lại toàn bộ thẻ trong khoảng ngày hiện tại.</t>
        </is>
      </c>
      <c r="K37" s="75" t="inlineStr">
        <is>
          <t>オージー</t>
        </is>
      </c>
      <c r="L37" s="75" t="inlineStr">
        <is>
          <t>High</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TC-SHP-L1-037</t>
        </is>
      </c>
      <c r="C38" s="70" t="inlineStr">
        <is>
          <t>DA_LIST_001_Kho / Ô tìm kiếm không có kết quả</t>
        </is>
      </c>
      <c r="D38" s="70" t="inlineStr">
        <is>
          <t>Behavior</t>
        </is>
      </c>
      <c r="E38" s="70" t="inlineStr">
        <is>
          <t>Medium</t>
        </is>
      </c>
      <c r="F38" s="70" t="inlineStr">
        <is>
          <t>AC-31; RQ-C25; OQ-06</t>
        </is>
      </c>
      <c r="G38" s="75" t="inlineStr">
        <is>
          <t>[UNCONFIRMED] Check hiển thị khi từ khoá tìm kiếm không khớp thẻ nào (tài liệu chỉ định nghĩa empty state cho khoảng ngày không có bản ghi).</t>
        </is>
      </c>
      <c r="H38" s="70" t="inlineStr">
        <is>
          <t>Tài xế DR00001 đã đăng nhập Mobile Web E06 (Safari iOS hoặc Chrome Android, viewport 390×844). Ngày hệ thống test cố định là 2026-10-08（木）. Dữ liệu seed có thẻ 倉庫受取 trong khoảng 2026-10-08 đến 2026-10-15.</t>
        </is>
      </c>
      <c r="I38" s="75" t="inlineStr">
        <is>
          <t>1. Mở màn 配送一覧 (Tab A)
2. Gõ 「QC_該当なし999」 vào ô tìm kiếm</t>
        </is>
      </c>
      <c r="J38" s="75" t="inlineStr">
        <is>
          <t>Không có thẻ nào. Cần BA xác nhận có hiện empty state 「配送予定データはありません。」 hay vùng trống.</t>
        </is>
      </c>
      <c r="K38" s="75" t="inlineStr">
        <is>
          <t>QC_該当なし999</t>
        </is>
      </c>
      <c r="L38" s="75" t="inlineStr">
        <is>
          <t>Medium</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TC-SHP-L1-038</t>
        </is>
      </c>
      <c r="C39" s="70" t="inlineStr">
        <is>
          <t>DA_LIST_001_Kho / Ô tìm kiếm kết hợp với bộ lọc trạng thái</t>
        </is>
      </c>
      <c r="D39" s="70" t="inlineStr">
        <is>
          <t>Logic</t>
        </is>
      </c>
      <c r="E39" s="70" t="inlineStr">
        <is>
          <t>Medium</t>
        </is>
      </c>
      <c r="F39" s="70" t="inlineStr">
        <is>
          <t>AC-30; AC-31</t>
        </is>
      </c>
      <c r="G39" s="75" t="inlineStr">
        <is>
          <t>Check tìm kiếm và dropdown trạng thái áp dụng đồng thời theo điều kiện AND.</t>
        </is>
      </c>
      <c r="H39" s="70" t="inlineStr">
        <is>
          <t>Tài xế DR00001 đã đăng nhập Mobile Web E06 (Safari iOS hoặc Chrome Android, viewport 390×844). Ngày hệ thống test cố định là 2026-10-08（木）. Dữ liệu seed có thẻ 倉庫受取 trong khoảng 2026-10-08 đến 2026-10-15.</t>
        </is>
      </c>
      <c r="I39" s="75" t="inlineStr">
        <is>
          <t>1. Mở Tab A, chọn 「未受取」 ở dropdown
2. Gõ 「オージー」 vào ô tìm kiếm</t>
        </is>
      </c>
      <c r="J39" s="75" t="inlineStr">
        <is>
          <t>Danh sách chỉ còn thẻ vừa có badge 「未受取」 vừa có tên chứa 「オージー」.</t>
        </is>
      </c>
      <c r="K39" s="75" t="inlineStr">
        <is>
          <t>未受取 + オージー</t>
        </is>
      </c>
      <c r="L39" s="75" t="inlineStr">
        <is>
          <t>Medium</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TC-SHP-L1-039</t>
        </is>
      </c>
      <c r="C40" s="74" t="inlineStr">
        <is>
          <t>DA_LIST_001_Kho / Ô tìm kiếm giới hạn ký tự</t>
        </is>
      </c>
      <c r="D40" s="70" t="inlineStr">
        <is>
          <t>Validate</t>
        </is>
      </c>
      <c r="E40" s="70" t="inlineStr">
        <is>
          <t>Medium</t>
        </is>
      </c>
      <c r="F40" s="70" t="inlineStr">
        <is>
          <t>BD:DA_LIST_001_Kho_ListKho (item 7)</t>
        </is>
      </c>
      <c r="G40" s="75" t="inlineStr">
        <is>
          <t>[UNCONFIRMED] Check giới hạn ký tự ô tìm kiếm Tab A khi nhập chuỗi 256 ký tự (Basic Design ghi UNKNOWN, Tab B/C là 0 đến 255).</t>
        </is>
      </c>
      <c r="H40" s="70" t="inlineStr">
        <is>
          <t>Tài xế DR00001 đã đăng nhập Mobile Web E06 (Safari iOS hoặc Chrome Android, viewport 390×844). Ngày hệ thống test cố định là 2026-10-08（木）. Dữ liệu seed có thẻ 倉庫受取 trong khoảng 2026-10-08 đến 2026-10-15.</t>
        </is>
      </c>
      <c r="I40" s="70" t="inlineStr">
        <is>
          <t>1. Mở màn 配送一覧 (Tab A)
2. Dán chuỗi 256 ký tự `a` vào ô tìm kiếm
3. Quan sát độ dài chuỗi còn lại trong ô</t>
        </is>
      </c>
      <c r="J40" s="75" t="inlineStr">
        <is>
          <t>Ghi nhận thực tế: chặn ở 255 ký tự (giống Tab B/C) hoặc cho nhập đủ 256. Không có thông báo lỗi nào được định nghĩa. Cần BA chốt giới hạn.</t>
        </is>
      </c>
      <c r="K40" s="75" t="inlineStr">
        <is>
          <t>256 ký tự a</t>
        </is>
      </c>
      <c r="L40" s="75" t="inlineStr">
        <is>
          <t>Low</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TC-SHP-L1-040</t>
        </is>
      </c>
      <c r="C41" s="74" t="inlineStr">
        <is>
          <t>DA_LIST_001_Kho / Ô tìm kiếm bảo mật XSS</t>
        </is>
      </c>
      <c r="D41" s="70" t="inlineStr">
        <is>
          <t>Security</t>
        </is>
      </c>
      <c r="E41" s="70" t="inlineStr">
        <is>
          <t>High</t>
        </is>
      </c>
      <c r="F41" s="70" t="inlineStr">
        <is>
          <t>AC-31; RQ-C09</t>
        </is>
      </c>
      <c r="G41" s="70" t="inlineStr">
        <is>
          <t>Check nhập chuỗi script vào ô tìm kiếm thì không thực thi script.</t>
        </is>
      </c>
      <c r="H41" s="70" t="inlineStr">
        <is>
          <t>Tài xế DR00001 đã đăng nhập Mobile Web E06 (Safari iOS hoặc Chrome Android, viewport 390×844). Ngày hệ thống test cố định là 2026-10-08（木）. Dữ liệu seed có thẻ 倉庫受取 trong khoảng 2026-10-08 đến 2026-10-15.</t>
        </is>
      </c>
      <c r="I41" s="70" t="inlineStr">
        <is>
          <t>1. Mở màn 配送一覧 (Tab A)
2. Gõ `&lt;script&gt;alert(1)&lt;/script&gt;` vào ô tìm kiếm</t>
        </is>
      </c>
      <c r="J41" s="70" t="inlineStr">
        <is>
          <t>Không hiện hộp thoại alert, chuỗi được xử lý như văn bản thường, màn không lỗi, danh sách không có thẻ khớp.</t>
        </is>
      </c>
      <c r="K41" s="70" t="inlineStr">
        <is>
          <t>&lt;script&gt;alert(1)&lt;/script&gt;</t>
        </is>
      </c>
      <c r="L41" s="70" t="inlineStr">
        <is>
          <t>Medium</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TC-SHP-L1-041</t>
        </is>
      </c>
      <c r="C42" s="74" t="inlineStr">
        <is>
          <t>DA_LIST_001_Kho / Ô tìm kiếm bảo mật SQL injection</t>
        </is>
      </c>
      <c r="D42" s="70" t="inlineStr">
        <is>
          <t>Security</t>
        </is>
      </c>
      <c r="E42" s="70" t="inlineStr">
        <is>
          <t>Medium</t>
        </is>
      </c>
      <c r="F42" s="70" t="inlineStr">
        <is>
          <t>AC-31; RQ-C09</t>
        </is>
      </c>
      <c r="G42" s="75" t="inlineStr">
        <is>
          <t>Check nhập chuỗi SQL injection thì hệ thống xử lý như văn bản thường.</t>
        </is>
      </c>
      <c r="H42" s="70" t="inlineStr">
        <is>
          <t>Tài xế DR00001 đã đăng nhập Mobile Web E06 (Safari iOS hoặc Chrome Android, viewport 390×844). Ngày hệ thống test cố định là 2026-10-08（木）. Dữ liệu seed có thẻ 倉庫受取 trong khoảng 2026-10-08 đến 2026-10-15.</t>
        </is>
      </c>
      <c r="I42" s="70" t="inlineStr">
        <is>
          <t>1. Mở màn 配送一覧 (Tab A)
2. Gõ `' OR '1'='1` vào ô tìm kiếm</t>
        </is>
      </c>
      <c r="J42" s="70" t="inlineStr">
        <is>
          <t>Danh sách không trả về toàn bộ dữ liệu vì injection, không có lỗi server, chuỗi được coi như từ khoá thường.</t>
        </is>
      </c>
      <c r="K42" s="70" t="inlineStr">
        <is>
          <t>' OR '1'='1</t>
        </is>
      </c>
      <c r="L42" s="70" t="inlineStr">
        <is>
          <t>Medium</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inlineStr">
        <is>
          <t>TC-SHP-L1-042</t>
        </is>
      </c>
      <c r="C43" s="74" t="inlineStr">
        <is>
          <t>DA_LIST_001_Kho / Ô tìm kiếm emoji và kana nửa chiều</t>
        </is>
      </c>
      <c r="D43" s="70" t="inlineStr">
        <is>
          <t>Validate</t>
        </is>
      </c>
      <c r="E43" s="70" t="inlineStr">
        <is>
          <t>Low</t>
        </is>
      </c>
      <c r="F43" s="70" t="inlineStr">
        <is>
          <t>AC-31; RQ-C09</t>
        </is>
      </c>
      <c r="G43" s="75" t="inlineStr">
        <is>
          <t>[UNCONFIRMED] Check ô tìm kiếm nhập được emoji và kana nửa chiều mà không làm lỗi màn.</t>
        </is>
      </c>
      <c r="H43" s="70" t="inlineStr">
        <is>
          <t>Tài xế DR00001 đã đăng nhập Mobile Web E06 (Safari iOS hoặc Chrome Android, viewport 390×844). Ngày hệ thống test cố định là 2026-10-08（木）. Dữ liệu seed có thẻ 倉庫受取 trong khoảng 2026-10-08 đến 2026-10-15.</t>
        </is>
      </c>
      <c r="I43" s="75" t="inlineStr">
        <is>
          <t>1. Mở màn 配送一覧 (Tab A)
2. Gõ `😀` rồi xóa
3. Gõ `ｵｰｼﾞｰ` (kana nửa chiều)</t>
        </is>
      </c>
      <c r="J43" s="70" t="inlineStr">
        <is>
          <t>Màn không lỗi. Kết quả với kana nửa chiều theo quy tắc khớp của hệ thống (ghi nhận có khớp 「オージー」 toàn chiều hay không).</t>
        </is>
      </c>
      <c r="K43" s="70" t="inlineStr">
        <is>
          <t>😀, ｵｰｼﾞｰ</t>
        </is>
      </c>
      <c r="L43" s="70" t="inlineStr">
        <is>
          <t>Low</t>
        </is>
      </c>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inlineStr">
        <is>
          <t>TC-SHP-L1-043</t>
        </is>
      </c>
      <c r="C44" s="74" t="inlineStr">
        <is>
          <t>DA_LIST_001_Kho / Ô tìm kiếm khoảng trắng đầu cuối</t>
        </is>
      </c>
      <c r="D44" s="70" t="inlineStr">
        <is>
          <t>Validate</t>
        </is>
      </c>
      <c r="E44" s="70" t="inlineStr">
        <is>
          <t>Low</t>
        </is>
      </c>
      <c r="F44" s="70" t="inlineStr">
        <is>
          <t>AC-31; RQ-C09</t>
        </is>
      </c>
      <c r="G44" s="75" t="inlineStr">
        <is>
          <t>[UNCONFIRMED] Check ô tìm kiếm với từ khoá có khoảng trắng đầu và cuối.</t>
        </is>
      </c>
      <c r="H44" s="70" t="inlineStr">
        <is>
          <t>Tài xế DR00001 đã đăng nhập Mobile Web E06 (Safari iOS hoặc Chrome Android, viewport 390×844). Ngày hệ thống test cố định là 2026-10-08（木）. Dữ liệu seed có thẻ 倉庫受取 trong khoảng 2026-10-08 đến 2026-10-15.</t>
        </is>
      </c>
      <c r="I44" s="75" t="inlineStr">
        <is>
          <t>1. Mở màn 配送一覧 (Tab A)
2. Gõ `  オージー  ` (2 khoảng trắng đầu và cuối)</t>
        </is>
      </c>
      <c r="J44" s="75" t="inlineStr">
        <is>
          <t>Ghi nhận danh sách có cắt khoảng trắng và khớp thẻ オージーフーズ倉庫 hay không. Tài liệu chưa nêu quy tắc.</t>
        </is>
      </c>
      <c r="K44" s="75" t="inlineStr">
        <is>
          <t>オージー</t>
        </is>
      </c>
      <c r="L44" s="75" t="inlineStr">
        <is>
          <t>Low</t>
        </is>
      </c>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inlineStr">
        <is>
          <t>TC-SHP-L1-044</t>
        </is>
      </c>
      <c r="C45" s="76" t="inlineStr">
        <is>
          <t>DA_LIST_001_Kho / Thẻ tag loại giao hàng</t>
        </is>
      </c>
      <c r="D45" s="70" t="inlineStr">
        <is>
          <t>UI</t>
        </is>
      </c>
      <c r="E45" s="70" t="inlineStr">
        <is>
          <t>Medium</t>
        </is>
      </c>
      <c r="F45" s="70" t="inlineStr">
        <is>
          <t>AC-36; RQ-C10</t>
        </is>
      </c>
      <c r="G45" s="75" t="inlineStr">
        <is>
          <t>Check mỗi thẻ có tag cố định 「倉庫受取」 màu xanh lam.</t>
        </is>
      </c>
      <c r="H45" s="70" t="inlineStr">
        <is>
          <t>Tài xế DR00001 đã đăng nhập Mobile Web E06 (Safari iOS hoặc Chrome Android, viewport 390×844). Ngày hệ thống test cố định là 2026-10-08（木）. Dữ liệu seed có thẻ 倉庫受取 trong khoảng 2026-10-08 đến 2026-10-15.</t>
        </is>
      </c>
      <c r="I45" s="75" t="inlineStr">
        <is>
          <t>1. Mở màn 配送一覧 (Tab A)
2. Quan sát phần đầu của từng thẻ</t>
        </is>
      </c>
      <c r="J45" s="75" t="inlineStr">
        <is>
          <t>Mỗi thẻ có icon kho màu cam và tag 「倉庫受取」 màu xanh lam (theo mô tả Basic Design; Figma hiển thị icon kho kèm tên kho).</t>
        </is>
      </c>
      <c r="K45" s="75" t="inlineStr">
        <is>
          <t>-</t>
        </is>
      </c>
      <c r="L45" s="75" t="inlineStr">
        <is>
          <t>Medium</t>
        </is>
      </c>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inlineStr">
        <is>
          <t>TC-SHP-L1-045</t>
        </is>
      </c>
      <c r="C46" s="74" t="inlineStr">
        <is>
          <t>DA_LIST_001_Kho / Thẻ tên kho dài rút gọn hai dòng</t>
        </is>
      </c>
      <c r="D46" s="70" t="inlineStr">
        <is>
          <t>UI</t>
        </is>
      </c>
      <c r="E46" s="70" t="inlineStr">
        <is>
          <t>High</t>
        </is>
      </c>
      <c r="F46" s="70" t="inlineStr">
        <is>
          <t>AC-32; RQ-C11</t>
        </is>
      </c>
      <c r="G46" s="75" t="inlineStr">
        <is>
          <t>Check tên kho rất dài chỉ hiển thị tối đa 2 dòng rồi rút gọn bằng 「…」.</t>
        </is>
      </c>
      <c r="H46" s="70" t="inlineStr">
        <is>
          <t>Tài xế DR00001 đã đăng nhập Mobile Web E06 (Safari iOS hoặc Chrome Android, viewport 390×844). Ngày hệ thống test cố định là 2026-10-08（木）. Dữ liệu seed có thẻ 倉庫受取 trong khoảng 2026-10-08 đến 2026-10-15.</t>
        </is>
      </c>
      <c r="I46" s="75" t="inlineStr">
        <is>
          <t>1. Mở màn 配送一覧 (Tab A)
2. Tìm thẻ có tên kho dài
3. Quan sát tên kho</t>
        </is>
      </c>
      <c r="J46" s="75" t="inlineStr">
        <is>
          <t>Tên kho hiển thị tối đa 2 dòng, phần vượt bị cắt và kết thúc bằng 「…」, thẻ không cao quá 2 dòng tên.</t>
        </is>
      </c>
      <c r="K46" s="75" t="inlineStr">
        <is>
          <t>QC_オージーフーズ東日本中継センター第二物流倉庫横浜みなとみらい配送拠点（52 ký tự）</t>
        </is>
      </c>
      <c r="L46" s="75" t="inlineStr">
        <is>
          <t>High</t>
        </is>
      </c>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inlineStr">
        <is>
          <t>TC-SHP-L1-046</t>
        </is>
      </c>
      <c r="C47" s="74" t="inlineStr">
        <is>
          <t>DA_LIST_001_Kho / Thẻ tên kho ngắn</t>
        </is>
      </c>
      <c r="D47" s="70" t="inlineStr">
        <is>
          <t>UI</t>
        </is>
      </c>
      <c r="E47" s="70" t="inlineStr">
        <is>
          <t>Low</t>
        </is>
      </c>
      <c r="F47" s="70" t="inlineStr">
        <is>
          <t>AC-32; RQ-C11</t>
        </is>
      </c>
      <c r="G47" s="75" t="inlineStr">
        <is>
          <t>Check tên kho ngắn hiển thị đầy đủ trên một dòng, không có 「…」.</t>
        </is>
      </c>
      <c r="H47" s="75" t="inlineStr">
        <is>
          <t>Tài xế DR00001 đã đăng nhập Mobile Web E06 (Safari iOS hoặc Chrome Android, viewport 390×844). Ngày hệ thống test cố định là 2026-10-08（木）. Dữ liệu seed có thẻ 倉庫受取 trong khoảng 2026-10-08 đến 2026-10-15.</t>
        </is>
      </c>
      <c r="I47" s="75" t="inlineStr">
        <is>
          <t>1. Mở màn 配送一覧 (Tab A)
2. Quan sát thẻ 「オージーフーズ倉庫」</t>
        </is>
      </c>
      <c r="J47" s="75" t="inlineStr">
        <is>
          <t>Tên 「オージーフーズ倉庫」 hiển thị đầy đủ một dòng, không có 「…」.</t>
        </is>
      </c>
      <c r="K47" s="75" t="inlineStr">
        <is>
          <t>オージーフーズ倉庫</t>
        </is>
      </c>
      <c r="L47" s="75" t="inlineStr">
        <is>
          <t>Low</t>
        </is>
      </c>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inlineStr">
        <is>
          <t>TC-SHP-L1-047</t>
        </is>
      </c>
      <c r="C48" s="74" t="inlineStr">
        <is>
          <t>DA_LIST_001_Kho / Thẻ ngày giao định dạng</t>
        </is>
      </c>
      <c r="D48" s="70" t="inlineStr">
        <is>
          <t>UI</t>
        </is>
      </c>
      <c r="E48" s="70" t="inlineStr">
        <is>
          <t>High</t>
        </is>
      </c>
      <c r="F48" s="70" t="inlineStr">
        <is>
          <t>AC-37; RQ-C12</t>
        </is>
      </c>
      <c r="G48" s="75" t="inlineStr">
        <is>
          <t>Check ngày giao hiển thị theo định dạng yyyy-mm-dd（thứ） trên từng thẻ.</t>
        </is>
      </c>
      <c r="H48" s="75" t="inlineStr">
        <is>
          <t>Tài xế DR00001 đã đăng nhập Mobile Web E06 (Safari iOS hoặc Chrome Android, viewport 390×844). Ngày hệ thống test cố định là 2026-10-08（木）. Dữ liệu seed có thẻ 倉庫受取 trong khoảng 2026-10-08 đến 2026-10-15.</t>
        </is>
      </c>
      <c r="I48" s="75" t="inlineStr">
        <is>
          <t>1. Mở màn 配送一覧 (Tab A)
2. Quan sát dòng ngày của thẻ giao 2026-10-08</t>
        </is>
      </c>
      <c r="J48" s="75" t="inlineStr">
        <is>
          <t>Thẻ hiển thị 「2026-10-08（木）」, tháng và ngày có đệm số 0 (ví dụ 「2026-10-09（金）」).</t>
        </is>
      </c>
      <c r="K48" s="75" t="inlineStr">
        <is>
          <t>2026-10-08（木）, 2026-10-09（金）</t>
        </is>
      </c>
      <c r="L48" s="75" t="inlineStr">
        <is>
          <t>High</t>
        </is>
      </c>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inlineStr">
        <is>
          <t>TC-SHP-L1-048</t>
        </is>
      </c>
      <c r="C49" s="74" t="inlineStr">
        <is>
          <t>DA_LIST_001_Kho / Thẻ thứ tính tự động từ ngày</t>
        </is>
      </c>
      <c r="D49" s="70" t="inlineStr">
        <is>
          <t>Logic</t>
        </is>
      </c>
      <c r="E49" s="70" t="inlineStr">
        <is>
          <t>High</t>
        </is>
      </c>
      <c r="F49" s="70" t="inlineStr">
        <is>
          <t>AC-37; RQ-C12</t>
        </is>
      </c>
      <c r="G49" s="75" t="inlineStr">
        <is>
          <t>[UNCONFIRMED] Check thứ trong ngoặc được tính tự động đúng theo lịch với ngày 2026-06-12 (Figma mẫu ghi 「（月）」).</t>
        </is>
      </c>
      <c r="H49" s="70" t="inlineStr">
        <is>
          <t>Tài xế DR00001 đã đăng nhập Mobile Web E06 (Safari iOS hoặc Chrome Android, viewport 390×844). Ngày hệ thống test cố định là 2026-10-08（木）. Dữ liệu seed có thẻ 倉庫受取 trong khoảng 2026-10-08 đến 2026-10-15.</t>
        </is>
      </c>
      <c r="I49" s="75" t="inlineStr">
        <is>
          <t>1. Chọn khoảng ngày 2026-06-12 đến 2026-06-19 (seed có thẻ ngày 2026-06-12)
2. Quan sát ngày trên thẻ</t>
        </is>
      </c>
      <c r="J49" s="75" t="inlineStr">
        <is>
          <t>Thẻ hiển thị 「2026-06-12（金）」 vì 2026-06-12 là thứ Sáu theo lịch. Ảnh Figma mẫu ghi 「（月）」 là dữ liệu mẫu, không dùng làm chuẩn.</t>
        </is>
      </c>
      <c r="K49" s="75" t="inlineStr">
        <is>
          <t>2026-06-12（金）</t>
        </is>
      </c>
      <c r="L49" s="75" t="inlineStr">
        <is>
          <t>High</t>
        </is>
      </c>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inlineStr">
        <is>
          <t>TC-SHP-L1-049</t>
        </is>
      </c>
      <c r="C50" s="74" t="inlineStr">
        <is>
          <t>DA_LIST_001_Kho / Thẻ badge 未受取</t>
        </is>
      </c>
      <c r="D50" s="70" t="inlineStr">
        <is>
          <t>UI</t>
        </is>
      </c>
      <c r="E50" s="70" t="inlineStr">
        <is>
          <t>Medium</t>
        </is>
      </c>
      <c r="F50" s="70" t="inlineStr">
        <is>
          <t>AC-36; RQ-C13</t>
        </is>
      </c>
      <c r="G50" s="77" t="inlineStr">
        <is>
          <t>Check badge 「未受取」 hiển thị màu cam đúng trạng thái thẻ.</t>
        </is>
      </c>
      <c r="H50" s="70" t="inlineStr">
        <is>
          <t>Tài xế DR00001 đã đăng nhập Mobile Web E06 (Safari iOS hoặc Chrome Android, viewport 390×844). Ngày hệ thống test cố định là 2026-10-08（木）. Dữ liệu seed có thẻ 倉庫受取 trong khoảng 2026-10-08 đến 2026-10-15.</t>
        </is>
      </c>
      <c r="I50" s="75" t="inlineStr">
        <is>
          <t>1. Mở màn 配送一覧 (Tab A)
2. Quan sát thẻ có trạng thái 未受取</t>
        </is>
      </c>
      <c r="J50" s="75" t="inlineStr">
        <is>
          <t>Badge 「未受取」 màu cam ở góc phải trên của thẻ.</t>
        </is>
      </c>
      <c r="K50" s="75" t="inlineStr">
        <is>
          <t>未受取</t>
        </is>
      </c>
      <c r="L50" s="75" t="inlineStr">
        <is>
          <t>Medium</t>
        </is>
      </c>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inlineStr">
        <is>
          <t>TC-SHP-L1-050</t>
        </is>
      </c>
      <c r="C51" s="74" t="inlineStr">
        <is>
          <t>DA_LIST_001_Kho / Thẻ badge 受取済</t>
        </is>
      </c>
      <c r="D51" s="70" t="inlineStr">
        <is>
          <t>UI</t>
        </is>
      </c>
      <c r="E51" s="70" t="inlineStr">
        <is>
          <t>Medium</t>
        </is>
      </c>
      <c r="F51" s="70" t="inlineStr">
        <is>
          <t>AC-36; RQ-C13</t>
        </is>
      </c>
      <c r="G51" s="75" t="inlineStr">
        <is>
          <t>Check badge 「受取済」 hiển thị màu xanh lá đúng trạng thái thẻ.</t>
        </is>
      </c>
      <c r="H51" s="70" t="inlineStr">
        <is>
          <t>Tài xế DR00001 đã đăng nhập Mobile Web E06 (Safari iOS hoặc Chrome Android, viewport 390×844). Ngày hệ thống test cố định là 2026-10-08（木）. Dữ liệu seed có thẻ 倉庫受取 trong khoảng 2026-10-08 đến 2026-10-15.</t>
        </is>
      </c>
      <c r="I51" s="70" t="inlineStr">
        <is>
          <t>1. Mở màn 配送一覧 (Tab A)
2. Quan sát thẻ có trạng thái 受取済</t>
        </is>
      </c>
      <c r="J51" s="75" t="inlineStr">
        <is>
          <t>Badge 「受取済」 màu xanh lá ở góc phải trên của thẻ.</t>
        </is>
      </c>
      <c r="K51" s="75" t="inlineStr">
        <is>
          <t>受取済</t>
        </is>
      </c>
      <c r="L51" s="75" t="inlineStr">
        <is>
          <t>Medium</t>
        </is>
      </c>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inlineStr">
        <is>
          <t>TC-SHP-L1-051</t>
        </is>
      </c>
      <c r="C52" s="74" t="inlineStr">
        <is>
          <t>DA_LIST_001_Kho / Thẻ badge トラブル</t>
        </is>
      </c>
      <c r="D52" s="70" t="inlineStr">
        <is>
          <t>UI</t>
        </is>
      </c>
      <c r="E52" s="70" t="inlineStr">
        <is>
          <t>Medium</t>
        </is>
      </c>
      <c r="F52" s="70" t="inlineStr">
        <is>
          <t>AC-36; RQ-C13</t>
        </is>
      </c>
      <c r="G52" s="70" t="inlineStr">
        <is>
          <t>Check badge 「トラブル」 hiển thị màu đỏ đúng trạng thái thẻ.</t>
        </is>
      </c>
      <c r="H52" s="70" t="inlineStr">
        <is>
          <t>Tài xế DR00001 đã đăng nhập Mobile Web E06 (Safari iOS hoặc Chrome Android, viewport 390×844). Ngày hệ thống test cố định là 2026-10-08（木）. Dữ liệu seed có thẻ 倉庫受取 trong khoảng 2026-10-08 đến 2026-10-15.</t>
        </is>
      </c>
      <c r="I52" s="70" t="inlineStr">
        <is>
          <t>1. Mở màn 配送一覧 (Tab A)
2. Quan sát thẻ có trạng thái トラブル</t>
        </is>
      </c>
      <c r="J52" s="70" t="inlineStr">
        <is>
          <t>Badge 「トラブル」 màu đỏ ở góc phải trên của thẻ.</t>
        </is>
      </c>
      <c r="K52" s="70" t="inlineStr">
        <is>
          <t>トラブル</t>
        </is>
      </c>
      <c r="L52" s="70" t="inlineStr">
        <is>
          <t>Medium</t>
        </is>
      </c>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inlineStr">
        <is>
          <t>TC-SHP-L1-052</t>
        </is>
      </c>
      <c r="C53" s="74" t="inlineStr">
        <is>
          <t>DA_LIST_001_Kho / Thẻ địa chỉ dài rút gọn</t>
        </is>
      </c>
      <c r="D53" s="70" t="inlineStr">
        <is>
          <t>UI</t>
        </is>
      </c>
      <c r="E53" s="70" t="inlineStr">
        <is>
          <t>Medium</t>
        </is>
      </c>
      <c r="F53" s="70" t="inlineStr">
        <is>
          <t>AC-32; RQ-C11; BD:DA_LIST_001_Kho_ListKho (item 12)</t>
        </is>
      </c>
      <c r="G53" s="75" t="inlineStr">
        <is>
          <t>Check địa chỉ dài trên thẻ Tab A bị rút gọn bằng 「…」 và thẻ có một địa chỉ.</t>
        </is>
      </c>
      <c r="H53" s="70" t="inlineStr">
        <is>
          <t>Tài xế DR00001 đã đăng nhập Mobile Web E06 (Safari iOS hoặc Chrome Android, viewport 390×844). Ngày hệ thống test cố định là 2026-10-08（木）. Dữ liệu seed có thẻ 倉庫受取 trong khoảng 2026-10-08 đến 2026-10-15.</t>
        </is>
      </c>
      <c r="I53" s="70" t="inlineStr">
        <is>
          <t>1. Mở màn 配送一覧 (Tab A)
2. Tìm thẻ có địa chỉ 東京都渋谷区千駄ヶ谷5-32-7野村不動産南新宿ビル2階 kèm tên tòa nhà dài
3. Quan sát dòng địa chỉ</t>
        </is>
      </c>
      <c r="J53" s="70" t="inlineStr">
        <is>
          <t>Địa chỉ hiển thị một khối, phần vượt chiều rộng bị rút gọn 「…」, mỗi thẻ chỉ có một địa chỉ.</t>
        </is>
      </c>
      <c r="K53" s="70" t="inlineStr">
        <is>
          <t>東京都渋谷区千駄ヶ谷5-32-7野村不動産南新宿ビル2階</t>
        </is>
      </c>
      <c r="L53" s="70" t="inlineStr">
        <is>
          <t>Medium</t>
        </is>
      </c>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inlineStr">
        <is>
          <t>TC-SHP-L1-053</t>
        </is>
      </c>
      <c r="C54" s="74" t="inlineStr">
        <is>
          <t>DA_LIST_001_Kho / Thẻ thống kê số công ty và số thùng</t>
        </is>
      </c>
      <c r="D54" s="70" t="inlineStr">
        <is>
          <t>UI</t>
        </is>
      </c>
      <c r="E54" s="70" t="inlineStr">
        <is>
          <t>High</t>
        </is>
      </c>
      <c r="F54" s="70" t="inlineStr">
        <is>
          <t>AC-35; RQ-C14; RQ-C15</t>
        </is>
      </c>
      <c r="G54" s="75" t="inlineStr">
        <is>
          <t>Check thẻ đã import mã vận đơn hiển thị 「{n}社」 và 「{n}箱」.</t>
        </is>
      </c>
      <c r="H54" s="70" t="inlineStr">
        <is>
          <t>Tài xế DR00001 đã đăng nhập Mobile Web E06 (Safari iOS hoặc Chrome Android, viewport 390×844). Ngày hệ thống test cố định là 2026-10-08（木）. Dữ liệu seed có thẻ 倉庫受取 trong khoảng 2026-10-08 đến 2026-10-15.</t>
        </is>
      </c>
      <c r="I54" s="75" t="inlineStr">
        <is>
          <t>1. Mở màn 配送一覧 (Tab A)
2. Quan sát thống kê của thẻ đã import mã vận đơn (10 công ty, 50 thùng)</t>
        </is>
      </c>
      <c r="J54" s="70" t="inlineStr">
        <is>
          <t>Thẻ hiển thị 「10社」 và 「50箱」.</t>
        </is>
      </c>
      <c r="K54" s="70" t="inlineStr">
        <is>
          <t>10社, 50箱</t>
        </is>
      </c>
      <c r="L54" s="70" t="inlineStr">
        <is>
          <t>High</t>
        </is>
      </c>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inlineStr">
        <is>
          <t>TC-SHP-L1-054</t>
        </is>
      </c>
      <c r="C55" s="74" t="inlineStr">
        <is>
          <t>DA_LIST_001_Kho / Thẻ ẩn số thùng khi chưa import mã vận đơn</t>
        </is>
      </c>
      <c r="D55" s="70" t="inlineStr">
        <is>
          <t>Logic</t>
        </is>
      </c>
      <c r="E55" s="70" t="inlineStr">
        <is>
          <t>High</t>
        </is>
      </c>
      <c r="F55" s="70" t="inlineStr">
        <is>
          <t>AC-35; RQ-C15</t>
        </is>
      </c>
      <c r="G55" s="75" t="inlineStr">
        <is>
          <t>Check thẻ chưa import mã vận đơn ẩn hẳn trường 「{n}箱」 và không hiện 「0箱」.</t>
        </is>
      </c>
      <c r="H55" s="70" t="inlineStr">
        <is>
          <t>Tài xế DR00001 đã đăng nhập Mobile Web E06 (Safari iOS hoặc Chrome Android, viewport 390×844). Ngày hệ thống test cố định là 2026-10-08（木）. Dữ liệu seed có thẻ 倉庫受取 trong khoảng 2026-10-08 đến 2026-10-15.</t>
        </is>
      </c>
      <c r="I55" s="75" t="inlineStr">
        <is>
          <t>1. Mở màn 配送一覧 (Tab A)
2. Quan sát thẻ seed chưa import mã vận đơn (2107-6228-5031 chưa nhập)</t>
        </is>
      </c>
      <c r="J55" s="75" t="inlineStr">
        <is>
          <t>Thẻ không có trường 「…箱」 và không có chữ 「0箱」. Trường 「{n}社」 vẫn hiển thị.</t>
        </is>
      </c>
      <c r="K55" s="75" t="inlineStr">
        <is>
          <t>Thẻ QC_SEED chưa import mã vận đơn</t>
        </is>
      </c>
      <c r="L55" s="75" t="inlineStr">
        <is>
          <t>High</t>
        </is>
      </c>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inlineStr">
        <is>
          <t>TC-SHP-L1-055</t>
        </is>
      </c>
      <c r="C56" s="76" t="inlineStr">
        <is>
          <t>DA_LIST_001_Kho / Thẻ số lượng ngày tương lai</t>
        </is>
      </c>
      <c r="D56" s="75" t="inlineStr">
        <is>
          <t>Logic</t>
        </is>
      </c>
      <c r="E56" s="75" t="inlineStr">
        <is>
          <t>High</t>
        </is>
      </c>
      <c r="F56" s="75" t="inlineStr">
        <is>
          <t>AC-34; RQ-C16; AC-33</t>
        </is>
      </c>
      <c r="G56" s="75" t="inlineStr">
        <is>
          <t>Check thẻ ngày tương lai hiển thị số lượng dạng 「{n}個（予定）」.</t>
        </is>
      </c>
      <c r="H56" s="70" t="inlineStr">
        <is>
          <t>Tài xế DR00001 đã đăng nhập Mobile Web E06 (Safari iOS hoặc Chrome Android, viewport 390×844). Ngày hệ thống test cố định là 2026-10-08（木）. Dữ liệu seed có thẻ 倉庫受取 trong khoảng 2026-10-08 đến 2026-10-15.</t>
        </is>
      </c>
      <c r="I56" s="75" t="inlineStr">
        <is>
          <t>1. Mở màn 配送一覧 (Tab A)
2. Quan sát thẻ giao 2026-10-12 (tương lai)</t>
        </is>
      </c>
      <c r="J56" s="75" t="inlineStr">
        <is>
          <t>Số lượng hiển thị 「500個（予定）」 (số đặt hàng, đơn vị 個, kèm （予定）).</t>
        </is>
      </c>
      <c r="K56" s="75" t="inlineStr">
        <is>
          <t>Thẻ 2026-10-12, đặt 500 個</t>
        </is>
      </c>
      <c r="L56" s="75" t="inlineStr">
        <is>
          <t>High</t>
        </is>
      </c>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inlineStr">
        <is>
          <t>TC-SHP-L1-056</t>
        </is>
      </c>
      <c r="C57" s="76" t="inlineStr">
        <is>
          <t>DA_LIST_001_Kho / Thẻ số lượng hôm nay đã picking</t>
        </is>
      </c>
      <c r="D57" s="75" t="inlineStr">
        <is>
          <t>Logic</t>
        </is>
      </c>
      <c r="E57" s="75" t="inlineStr">
        <is>
          <t>High</t>
        </is>
      </c>
      <c r="F57" s="75" t="inlineStr">
        <is>
          <t>AC-34; RQ-C16</t>
        </is>
      </c>
      <c r="G57" s="75" t="inlineStr">
        <is>
          <t>[UNCONFIRMED] Check thẻ ngày hôm nay đã picking xong hiển thị số lượng thực tế dạng 「{n}箱」.</t>
        </is>
      </c>
      <c r="H57" s="75" t="inlineStr">
        <is>
          <t>Tài xế DR00001 đã đăng nhập Mobile Web E06 (Safari iOS hoặc Chrome Android, viewport 390×844). Ngày hệ thống test cố định là 2026-10-08（木）. Dữ liệu seed có thẻ 倉庫受取 trong khoảng 2026-10-08 đến 2026-10-15.</t>
        </is>
      </c>
      <c r="I57" s="75" t="inlineStr">
        <is>
          <t>1. Mở màn 配送一覧 (Tab A)
2. Quan sát thẻ giao 2026-10-08 đã picking xong</t>
        </is>
      </c>
      <c r="J57" s="75" t="inlineStr">
        <is>
          <t>Số lượng hiển thị 「500箱」 (số thực tế đơn vị 箱).</t>
        </is>
      </c>
      <c r="K57" s="75" t="inlineStr">
        <is>
          <t>Thẻ 2026-10-08 đã picking, thực tế 500</t>
        </is>
      </c>
      <c r="L57" s="75" t="inlineStr">
        <is>
          <t>High</t>
        </is>
      </c>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inlineStr">
        <is>
          <t>TC-SHP-L1-057</t>
        </is>
      </c>
      <c r="C58" s="76" t="inlineStr">
        <is>
          <t>DA_LIST_001_Kho / Thẻ số lượng quá khứ đã picking</t>
        </is>
      </c>
      <c r="D58" s="75" t="inlineStr">
        <is>
          <t>Logic</t>
        </is>
      </c>
      <c r="E58" s="75" t="inlineStr">
        <is>
          <t>Medium</t>
        </is>
      </c>
      <c r="F58" s="75" t="inlineStr">
        <is>
          <t>AC-34; RQ-C16</t>
        </is>
      </c>
      <c r="G58" s="75" t="inlineStr">
        <is>
          <t>[UNCONFIRMED] Check thẻ ngày quá khứ đã picking xong hiển thị số lượng thực tế dạng 「{n}箱」.</t>
        </is>
      </c>
      <c r="H58" s="75" t="inlineStr">
        <is>
          <t>Tài xế DR00001 đã đăng nhập Mobile Web E06 (Safari iOS hoặc Chrome Android, viewport 390×844). Ngày hệ thống test cố định là 2026-10-08（木）. Dữ liệu seed có thẻ 倉庫受取 trong khoảng 2026-10-08 đến 2026-10-15.</t>
        </is>
      </c>
      <c r="I58" s="75" t="inlineStr">
        <is>
          <t>1. Chọn khoảng ngày 2026-10-01 đến 2026-10-15
2. Quan sát thẻ giao 2026-10-07 đã picking xong</t>
        </is>
      </c>
      <c r="J58" s="75" t="inlineStr">
        <is>
          <t>Số lượng hiển thị 「300箱」 (số thực tế).</t>
        </is>
      </c>
      <c r="K58" s="75" t="inlineStr">
        <is>
          <t>Thẻ 2026-10-07 đã picking, thực tế 300</t>
        </is>
      </c>
      <c r="L58" s="75" t="inlineStr">
        <is>
          <t>Medium</t>
        </is>
      </c>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inlineStr">
        <is>
          <t>TC-SHP-L1-058</t>
        </is>
      </c>
      <c r="C59" s="76" t="inlineStr">
        <is>
          <t>DA_LIST_001_Kho / Thẻ chưa picking hôm nay hiển thị 未確定</t>
        </is>
      </c>
      <c r="D59" s="75" t="inlineStr">
        <is>
          <t>Logic</t>
        </is>
      </c>
      <c r="E59" s="75" t="inlineStr">
        <is>
          <t>High</t>
        </is>
      </c>
      <c r="F59" s="75" t="inlineStr">
        <is>
          <t>AC-34; RQ-C16; E_DALIST001KHO_003</t>
        </is>
      </c>
      <c r="G59" s="79" t="inlineStr">
        <is>
          <t>Check thẻ hôm nay chưa picking xong hiển thị 「未確定」 thay cho số lượng.</t>
        </is>
      </c>
      <c r="H59" s="70" t="inlineStr">
        <is>
          <t>Tài xế DR00001 đã đăng nhập Mobile Web E06 (Safari iOS hoặc Chrome Android, viewport 390×844). Ngày hệ thống test cố định là 2026-10-08（木）. Dữ liệu seed có thẻ 倉庫受取 trong khoảng 2026-10-08 đến 2026-10-15.</t>
        </is>
      </c>
      <c r="I59" s="75" t="inlineStr">
        <is>
          <t>1. Mở màn 配送一覧 (Tab A)
2. Quan sát thẻ giao 2026-10-08 chưa picking xong</t>
        </is>
      </c>
      <c r="J59" s="75" t="inlineStr">
        <is>
          <t>Phần số lượng hiển thị đúng chữ 「未確定」 (mã E_DALIST001KHO_003), không hiện số.</t>
        </is>
      </c>
      <c r="K59" s="75" t="inlineStr">
        <is>
          <t>Thẻ 2026-10-08 chưa picking</t>
        </is>
      </c>
      <c r="L59" s="75" t="inlineStr">
        <is>
          <t>High</t>
        </is>
      </c>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inlineStr">
        <is>
          <t>TC-SHP-L1-059</t>
        </is>
      </c>
      <c r="C60" s="76" t="inlineStr">
        <is>
          <t>DA_LIST_001_Kho / Thẻ chưa picking quá khứ hiển thị 未確定</t>
        </is>
      </c>
      <c r="D60" s="70" t="inlineStr">
        <is>
          <t>Logic</t>
        </is>
      </c>
      <c r="E60" s="70" t="inlineStr">
        <is>
          <t>Medium</t>
        </is>
      </c>
      <c r="F60" s="70" t="inlineStr">
        <is>
          <t>AC-34; RQ-C16; E_DALIST001KHO_003</t>
        </is>
      </c>
      <c r="G60" s="75" t="inlineStr">
        <is>
          <t>Check thẻ ngày quá khứ chưa picking xong hiển thị 「未確定」.</t>
        </is>
      </c>
      <c r="H60" s="70" t="inlineStr">
        <is>
          <t>Tài xế DR00001 đã đăng nhập Mobile Web E06 (Safari iOS hoặc Chrome Android, viewport 390×844). Ngày hệ thống test cố định là 2026-10-08（木）. Dữ liệu seed có thẻ 倉庫受取 trong khoảng 2026-10-08 đến 2026-10-15.</t>
        </is>
      </c>
      <c r="I60" s="75" t="inlineStr">
        <is>
          <t>1. Chọn khoảng ngày 2026-10-01 đến 2026-10-15
2. Quan sát thẻ giao 2026-10-06 chưa picking</t>
        </is>
      </c>
      <c r="J60" s="75" t="inlineStr">
        <is>
          <t>Phần số lượng hiển thị 「未確定」.</t>
        </is>
      </c>
      <c r="K60" s="75" t="inlineStr">
        <is>
          <t>Thẻ 2026-10-06 chưa picking</t>
        </is>
      </c>
      <c r="L60" s="75" t="inlineStr">
        <is>
          <t>Medium</t>
        </is>
      </c>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inlineStr">
        <is>
          <t>TC-SHP-L1-060</t>
        </is>
      </c>
      <c r="C61" s="76" t="inlineStr">
        <is>
          <t>DA_LIST_001_Kho / Thẻ ẩn mục số lượng bằng 0</t>
        </is>
      </c>
      <c r="D61" s="70" t="inlineStr">
        <is>
          <t>Logic</t>
        </is>
      </c>
      <c r="E61" s="70" t="inlineStr">
        <is>
          <t>Medium</t>
        </is>
      </c>
      <c r="F61" s="70" t="inlineStr">
        <is>
          <t>AC-33; AC-34; RQ-C26</t>
        </is>
      </c>
      <c r="G61" s="75" t="inlineStr">
        <is>
          <t>Check mục lạnh hoặc mát có giá trị 0 bị ẩn khỏi thẻ (v3 「0件は非表示」).</t>
        </is>
      </c>
      <c r="H61" s="70" t="inlineStr">
        <is>
          <t>Tài xế DR00001 đã đăng nhập Mobile Web E06 (Safari iOS hoặc Chrome Android, viewport 390×844). Ngày hệ thống test cố định là 2026-10-08（木）. Dữ liệu seed có thẻ 倉庫受取 trong khoảng 2026-10-08 đến 2026-10-15.</t>
        </is>
      </c>
      <c r="I61" s="75" t="inlineStr">
        <is>
          <t>1. Mở màn 配送一覧 (Tab A)
2. Quan sát thẻ có 冷凍 = 0 và 冷蔵・常温 = 120</t>
        </is>
      </c>
      <c r="J61" s="75" t="inlineStr">
        <is>
          <t>Thẻ chỉ hiển thị mục tủ lạnh 「120」, không hiển thị icon bông tuyết và số 0.</t>
        </is>
      </c>
      <c r="K61" s="75" t="inlineStr">
        <is>
          <t>冷凍 0, 冷蔵・常温 120</t>
        </is>
      </c>
      <c r="L61" s="75" t="inlineStr">
        <is>
          <t>Medium</t>
        </is>
      </c>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inlineStr">
        <is>
          <t>TC-SHP-L1-061</t>
        </is>
      </c>
      <c r="C62" s="76" t="inlineStr">
        <is>
          <t>DA_LIST_001_Kho / Thẻ icon bông tuyết và tủ lạnh</t>
        </is>
      </c>
      <c r="D62" s="70" t="inlineStr">
        <is>
          <t>UI</t>
        </is>
      </c>
      <c r="E62" s="70" t="inlineStr">
        <is>
          <t>Medium</t>
        </is>
      </c>
      <c r="F62" s="70" t="inlineStr">
        <is>
          <t>AC-33; RQ-C02</t>
        </is>
      </c>
      <c r="G62" s="75" t="inlineStr">
        <is>
          <t>Check icon bông tuyết biểu thị 冷凍 và icon tủ lạnh biểu thị 冷蔵・常温 gộp chung một số.</t>
        </is>
      </c>
      <c r="H62" s="70" t="inlineStr">
        <is>
          <t>Tài xế DR00001 đã đăng nhập Mobile Web E06 (Safari iOS hoặc Chrome Android, viewport 390×844). Ngày hệ thống test cố định là 2026-10-08（木）. Dữ liệu seed có thẻ 倉庫受取 trong khoảng 2026-10-08 đến 2026-10-15.</t>
        </is>
      </c>
      <c r="I62" s="70" t="inlineStr">
        <is>
          <t>1. Mở màn 配送一覧 (Tab A)
2. Quan sát thẻ có cả hai mục lạnh và mát (冷凍 500, 冷蔵・常温 500)</t>
        </is>
      </c>
      <c r="J62" s="75" t="inlineStr">
        <is>
          <t>Một mục icon bông tuyết kèm 500 và một mục icon tủ lạnh kèm 500; 冷蔵 và 常温 không tách thành hai số.</t>
        </is>
      </c>
      <c r="K62" s="75" t="inlineStr">
        <is>
          <t>冷凍 500, 冷蔵・常温 500</t>
        </is>
      </c>
      <c r="L62" s="75" t="inlineStr">
        <is>
          <t>Medium</t>
        </is>
      </c>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inlineStr">
        <is>
          <t>TC-SHP-L1-062</t>
        </is>
      </c>
      <c r="C63" s="76" t="inlineStr">
        <is>
          <t>DA_LIST_001_Kho / Thẻ Figma hiển thị đơn vị 品</t>
        </is>
      </c>
      <c r="D63" s="70" t="inlineStr">
        <is>
          <t>UI</t>
        </is>
      </c>
      <c r="E63" s="70" t="inlineStr">
        <is>
          <t>Low</t>
        </is>
      </c>
      <c r="F63" s="70" t="inlineStr">
        <is>
          <t>AC-34; BD:DA_LIST_001_Kho_ListKho (item 14)</t>
        </is>
      </c>
      <c r="G63" s="70" t="inlineStr">
        <is>
          <t>[UNCONFIRMED] Check Figma node 20285:178603 hiển thị số lượng dạng 「500 品」 trong khi Basic Design mô tả 「{n}箱」 hoặc 「{n}個（予定）」.</t>
        </is>
      </c>
      <c r="H63" s="70" t="inlineStr">
        <is>
          <t>Tài xế DR00001 đã đăng nhập Mobile Web E06 (Safari iOS hoặc Chrome Android, viewport 390×844). Ngày hệ thống test cố định là 2026-10-08（木）. Dữ liệu seed có thẻ 倉庫受取 trong khoảng 2026-10-08 đến 2026-10-15.</t>
        </is>
      </c>
      <c r="I63" s="70" t="inlineStr">
        <is>
          <t>1. Mở màn 配送一覧 (Tab A)
2. Đối chiếu thống kê thẻ với Figma</t>
        </is>
      </c>
      <c r="J63" s="70" t="inlineStr">
        <is>
          <t>Figma hiển thị 「10 社」「50 箱」「500 品」 và 「500 品」 cạnh icon bông tuyết. Ghi nhận khác biệt đơn vị giữa Figma và Basic Design để BA xác nhận.</t>
        </is>
      </c>
      <c r="K63" s="70" t="inlineStr">
        <is>
          <t>-</t>
        </is>
      </c>
      <c r="L63" s="70" t="inlineStr">
        <is>
          <t>Low</t>
        </is>
      </c>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inlineStr">
        <is>
          <t>TC-SHP-L1-063</t>
        </is>
      </c>
      <c r="C64" s="76" t="inlineStr">
        <is>
          <t>DA_LIST_001_Kho / Thứ tự hiển thị theo ngày giao</t>
        </is>
      </c>
      <c r="D64" s="70" t="inlineStr">
        <is>
          <t>Logic</t>
        </is>
      </c>
      <c r="E64" s="70" t="inlineStr">
        <is>
          <t>High</t>
        </is>
      </c>
      <c r="F64" s="70" t="inlineStr">
        <is>
          <t>AC-28; RQ-C26</t>
        </is>
      </c>
      <c r="G64" s="75" t="inlineStr">
        <is>
          <t>[UNCONFIRMED] Check danh sách sắp xếp theo 納品日付 trước tiên.</t>
        </is>
      </c>
      <c r="H64" s="70" t="inlineStr">
        <is>
          <t>Tài xế DR00001 đã đăng nhập Mobile Web E06 (Safari iOS hoặc Chrome Android, viewport 390×844). Ngày hệ thống test cố định là 2026-10-08（木）. Dữ liệu seed có thẻ 倉庫受取 trong khoảng 2026-10-08 đến 2026-10-15.</t>
        </is>
      </c>
      <c r="I64" s="70" t="inlineStr">
        <is>
          <t>1. Mở Tab A với khoảng ngày 2026-10-08 đến 2026-10-15
2. Ghi lại ngày giao của các thẻ từ trên xuống</t>
        </is>
      </c>
      <c r="J64" s="70" t="inlineStr">
        <is>
          <t>Các thẻ được nhóm theo ngày giao theo thứ tự nhất quán (ghi nhận tăng dần hay giảm dần). Hướng sắp xếp chưa được tài liệu nêu rõ.</t>
        </is>
      </c>
      <c r="K64" s="70" t="inlineStr">
        <is>
          <t>Thẻ ngày 2026-10-08, 2026-10-09, 2026-10-12</t>
        </is>
      </c>
      <c r="L64" s="70" t="inlineStr">
        <is>
          <t>High</t>
        </is>
      </c>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inlineStr">
        <is>
          <t>TC-SHP-L1-064</t>
        </is>
      </c>
      <c r="C65" s="76" t="inlineStr">
        <is>
          <t>DA_LIST_001_Kho / Thứ tự hiển thị theo trạng thái cùng ngày</t>
        </is>
      </c>
      <c r="D65" s="70" t="inlineStr">
        <is>
          <t>Logic</t>
        </is>
      </c>
      <c r="E65" s="70" t="inlineStr">
        <is>
          <t>Medium</t>
        </is>
      </c>
      <c r="F65" s="70" t="inlineStr">
        <is>
          <t>RQ-C26</t>
        </is>
      </c>
      <c r="G65" s="75" t="inlineStr">
        <is>
          <t>[UNCONFIRMED] Check trong cùng một ngày giao, thẻ được sắp theo ステータス.</t>
        </is>
      </c>
      <c r="H65" s="70" t="inlineStr">
        <is>
          <t>Tài xế DR00001 đã đăng nhập Mobile Web E06 (Safari iOS hoặc Chrome Android, viewport 390×844). Ngày hệ thống test cố định là 2026-10-08（木）. Dữ liệu seed có thẻ 倉庫受取 trong khoảng 2026-10-08 đến 2026-10-15.</t>
        </is>
      </c>
      <c r="I65" s="75" t="inlineStr">
        <is>
          <t>1. Mở Tab A
2. Xem ba thẻ cùng ngày 2026-10-08 có trạng thái 未受取, 受取済, トラブル</t>
        </is>
      </c>
      <c r="J65" s="70" t="inlineStr">
        <is>
          <t>Thứ tự giữa ba thẻ cùng ngày theo ステータス nhất quán. Thứ tự chính xác của ba trạng thái chưa được tài liệu nêu rõ.</t>
        </is>
      </c>
      <c r="K65" s="70" t="inlineStr">
        <is>
          <t>Ba thẻ ngày 2026-10-08</t>
        </is>
      </c>
      <c r="L65" s="70" t="inlineStr">
        <is>
          <t>Medium</t>
        </is>
      </c>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inlineStr">
        <is>
          <t>TC-SHP-L1-065</t>
        </is>
      </c>
      <c r="C66" s="76" t="inlineStr">
        <is>
          <t>DA_LIST_001_Kho / Thứ tự hiển thị theo tên điểm cùng ngày và trạng thái</t>
        </is>
      </c>
      <c r="D66" s="70" t="inlineStr">
        <is>
          <t>Logic</t>
        </is>
      </c>
      <c r="E66" s="70" t="inlineStr">
        <is>
          <t>Low</t>
        </is>
      </c>
      <c r="F66" s="70" t="inlineStr">
        <is>
          <t>RQ-C26</t>
        </is>
      </c>
      <c r="G66" s="75" t="inlineStr">
        <is>
          <t>[UNCONFIRMED] Check hai thẻ cùng ngày cùng trạng thái được sắp theo 拠点名.</t>
        </is>
      </c>
      <c r="H66" s="70" t="inlineStr">
        <is>
          <t>Tài xế DR00001 đã đăng nhập Mobile Web E06 (Safari iOS hoặc Chrome Android, viewport 390×844). Ngày hệ thống test cố định là 2026-10-08（木）. Dữ liệu seed có thẻ 倉庫受取 trong khoảng 2026-10-08 đến 2026-10-15.</t>
        </is>
      </c>
      <c r="I66" s="75" t="inlineStr">
        <is>
          <t>1. Mở Tab A
2. Xem hai thẻ 未受取 ngày 2026-10-08 có tên kho khác nhau</t>
        </is>
      </c>
      <c r="J66" s="75" t="inlineStr">
        <is>
          <t>Hai thẻ sắp theo 拠点名 theo thứ tự nhất quán (ghi nhận quy tắc sắp xếp tên tiếng Nhật).</t>
        </is>
      </c>
      <c r="K66" s="75" t="inlineStr">
        <is>
          <t>Hai thẻ 未受取 ngày 2026-10-08</t>
        </is>
      </c>
      <c r="L66" s="75" t="inlineStr">
        <is>
          <t>Low</t>
        </is>
      </c>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inlineStr">
        <is>
          <t>TC-SHP-L1-066</t>
        </is>
      </c>
      <c r="C67" s="75" t="inlineStr">
        <is>
          <t>DA_LIST_001_Kho / Phân trang lần tải đầu</t>
        </is>
      </c>
      <c r="D67" s="70" t="inlineStr">
        <is>
          <t>Behavior</t>
        </is>
      </c>
      <c r="E67" s="70" t="inlineStr">
        <is>
          <t>High</t>
        </is>
      </c>
      <c r="F67" s="70" t="inlineStr">
        <is>
          <t>AC-28; RQ-C24; RQ-C26; OQ-07</t>
        </is>
      </c>
      <c r="G67" s="75" t="inlineStr">
        <is>
          <t>Check lần tải đầu tiên chỉ hiển thị 20 bản ghi khi khoảng ngày có 45 bản ghi.</t>
        </is>
      </c>
      <c r="H67" s="70" t="inlineStr">
        <is>
          <t>Tài xế DR00001 đã đăng nhập Mobile Web E06 (Safari iOS hoặc Chrome Android, viewport 390×844). Ngày hệ thống test cố định là 2026-10-08（木）. Dữ liệu seed có thẻ 倉庫受取 trong khoảng 2026-10-08 đến 2026-10-15. Seed có 45 thẻ 倉庫受取 trong khoảng.</t>
        </is>
      </c>
      <c r="I67" s="75" t="inlineStr">
        <is>
          <t>1. Mở màn 配送一覧 (Tab A)
2. Không cuộn, đếm số thẻ đã tải</t>
        </is>
      </c>
      <c r="J67" s="75" t="inlineStr">
        <is>
          <t>Có đúng 20 thẻ được tải ở lần đầu.</t>
        </is>
      </c>
      <c r="K67" s="75" t="inlineStr">
        <is>
          <t>45 bản ghi seed</t>
        </is>
      </c>
      <c r="L67" s="75" t="inlineStr">
        <is>
          <t>High</t>
        </is>
      </c>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inlineStr">
        <is>
          <t>TC-SHP-L1-067</t>
        </is>
      </c>
      <c r="C68" s="75" t="inlineStr">
        <is>
          <t>DA_LIST_001_Kho / Phân trang tự tải khi cuộn đến cuối</t>
        </is>
      </c>
      <c r="D68" s="70" t="inlineStr">
        <is>
          <t>Behavior</t>
        </is>
      </c>
      <c r="E68" s="70" t="inlineStr">
        <is>
          <t>High</t>
        </is>
      </c>
      <c r="F68" s="70" t="inlineStr">
        <is>
          <t>AC-28; RQ-C26; OQ-07</t>
        </is>
      </c>
      <c r="G68" s="75" t="inlineStr">
        <is>
          <t>Check cuộn đến cuối danh sách thì tự tải thêm 20 bản ghi kế tiếp mà không cần bấm nút.</t>
        </is>
      </c>
      <c r="H68" s="70" t="inlineStr">
        <is>
          <t>Tài xế DR00001 đã đăng nhập Mobile Web E06 (Safari iOS hoặc Chrome Android, viewport 390×844). Ngày hệ thống test cố định là 2026-10-08（木）. Dữ liệu seed có thẻ 倉庫受取 trong khoảng 2026-10-08 đến 2026-10-15. Seed có 45 thẻ.</t>
        </is>
      </c>
      <c r="I68" s="75" t="inlineStr">
        <is>
          <t>1. Mở Tab A
2. Cuộn đến cuối 20 thẻ đầu</t>
        </is>
      </c>
      <c r="J68" s="75" t="inlineStr">
        <is>
          <t>Tự tải thêm 20 thẻ (tổng 40), không có thẻ trùng và không bị mất thứ tự.</t>
        </is>
      </c>
      <c r="K68" s="75" t="inlineStr">
        <is>
          <t>45 bản ghi seed</t>
        </is>
      </c>
      <c r="L68" s="75" t="inlineStr">
        <is>
          <t>High</t>
        </is>
      </c>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inlineStr">
        <is>
          <t>TC-SHP-L1-068</t>
        </is>
      </c>
      <c r="C69" s="75" t="inlineStr">
        <is>
          <t>DA_LIST_001_Kho / Phân trang trang cuối</t>
        </is>
      </c>
      <c r="D69" s="70" t="inlineStr">
        <is>
          <t>Behavior</t>
        </is>
      </c>
      <c r="E69" s="70" t="inlineStr">
        <is>
          <t>Medium</t>
        </is>
      </c>
      <c r="F69" s="70" t="inlineStr">
        <is>
          <t>RQ-C26; OQ-07</t>
        </is>
      </c>
      <c r="G69" s="75" t="inlineStr">
        <is>
          <t>Check trang cuối chỉ tải phần còn lại và không tải thêm khi đã hết dữ liệu.</t>
        </is>
      </c>
      <c r="H69" s="70" t="inlineStr">
        <is>
          <t>Tài xế DR00001 đã đăng nhập Mobile Web E06 (Safari iOS hoặc Chrome Android, viewport 390×844). Ngày hệ thống test cố định là 2026-10-08（木）. Dữ liệu seed có thẻ 倉庫受取 trong khoảng 2026-10-08 đến 2026-10-15. Seed có 45 thẻ.</t>
        </is>
      </c>
      <c r="I69" s="70" t="inlineStr">
        <is>
          <t>1. Mở Tab A
2. Cuộn đến cuối lần 1 (20 thẻ), cuộn lần 2 (40 thẻ), cuộn lần 3</t>
        </is>
      </c>
      <c r="J69" s="75" t="inlineStr">
        <is>
          <t>Lần 3 tải thêm 5 thẻ (tổng 45), sau đó cuộn tiếp không tải thêm và không có vòng quay tải.</t>
        </is>
      </c>
      <c r="K69" s="75" t="inlineStr">
        <is>
          <t>45 bản ghi seed</t>
        </is>
      </c>
      <c r="L69" s="75" t="inlineStr">
        <is>
          <t>Medium</t>
        </is>
      </c>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inlineStr">
        <is>
          <t>TC-SHP-L1-069</t>
        </is>
      </c>
      <c r="C70" s="75" t="inlineStr">
        <is>
          <t>DA_LIST_001_Kho / Phân trang tính theo bộ lọc</t>
        </is>
      </c>
      <c r="D70" s="70" t="inlineStr">
        <is>
          <t>Behavior</t>
        </is>
      </c>
      <c r="E70" s="70" t="inlineStr">
        <is>
          <t>Medium</t>
        </is>
      </c>
      <c r="F70" s="70" t="inlineStr">
        <is>
          <t>RQ-C26; OQ-07</t>
        </is>
      </c>
      <c r="G70" s="70" t="inlineStr">
        <is>
          <t>[UNCONFIRMED] Check khi bộ lọc trạng thái đang bật, việc tải trang kế tiếp vẫn áp dụng bộ lọc.</t>
        </is>
      </c>
      <c r="H70" s="70" t="inlineStr">
        <is>
          <t>Tài xế DR00001 đã đăng nhập Mobile Web E06 (Safari iOS hoặc Chrome Android, viewport 390×844). Ngày hệ thống test cố định là 2026-10-08（木）. Dữ liệu seed có thẻ 倉庫受取 trong khoảng 2026-10-08 đến 2026-10-15. Seed có 45 thẻ, trong đó 30 thẻ 未受取.</t>
        </is>
      </c>
      <c r="I70" s="70" t="inlineStr">
        <is>
          <t>1. Mở Tab A, chọn 「未受取」
2. Cuộn đến cuối 20 thẻ đầu</t>
        </is>
      </c>
      <c r="J70" s="70" t="inlineStr">
        <is>
          <t>Tải thêm 10 thẻ 未受取, không xuất hiện thẻ 受取済 hay トラブル.</t>
        </is>
      </c>
      <c r="K70" s="70" t="inlineStr">
        <is>
          <t>30 thẻ 未受取</t>
        </is>
      </c>
      <c r="L70" s="70" t="inlineStr">
        <is>
          <t>Medium</t>
        </is>
      </c>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inlineStr">
        <is>
          <t>TC-SHP-L1-070</t>
        </is>
      </c>
      <c r="C71" s="75" t="inlineStr">
        <is>
          <t>DA_LIST_001_Kho / Empty state khoảng ngày không có bản ghi</t>
        </is>
      </c>
      <c r="D71" s="70" t="inlineStr">
        <is>
          <t>Behavior</t>
        </is>
      </c>
      <c r="E71" s="70" t="inlineStr">
        <is>
          <t>High</t>
        </is>
      </c>
      <c r="F71" s="70" t="inlineStr">
        <is>
          <t>AC-101; RQ-C25; OQ-06; OQ-35; E_DALIST001KHO_004</t>
        </is>
      </c>
      <c r="G71" s="75" t="inlineStr">
        <is>
          <t>[UNCONFIRMED] Check khoảng ngày không có thẻ nào thì hiện empty state theo bản v3.</t>
        </is>
      </c>
      <c r="H71" s="70" t="inlineStr">
        <is>
          <t>Tài xế DR00001 đã đăng nhập Mobile Web E06 (Safari iOS hoặc Chrome Android, viewport 390×844). Ngày hệ thống test cố định là 2026-10-08（木）. Dữ liệu seed có thẻ 倉庫受取 trong khoảng 2026-10-08 đến 2026-10-15.</t>
        </is>
      </c>
      <c r="I71" s="70" t="inlineStr">
        <is>
          <t>1. Mở Tab A
2. Chọn 開始日 2027-01-04 và 終了日 2027-01-11 (khoảng không có dữ liệu)</t>
        </is>
      </c>
      <c r="J71" s="70" t="inlineStr">
        <is>
          <t>Danh sách trống, hiển thị empty state 「配送予定データはありません。」 (mã E_DALIST001KHO_004). Câu chữ theo Figma v3, đang chờ BrSE xác nhận (SPEC cũ ghi 「該当する配送はありません。」).</t>
        </is>
      </c>
      <c r="K71" s="70" t="inlineStr">
        <is>
          <t>2027-01-04 đến 2027-01-11</t>
        </is>
      </c>
      <c r="L71" s="70" t="inlineStr">
        <is>
          <t>High</t>
        </is>
      </c>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inlineStr">
        <is>
          <t>TC-SHP-L1-071</t>
        </is>
      </c>
      <c r="C72" s="75" t="inlineStr">
        <is>
          <t>DA_LIST_001_Kho / Empty state biến mất khi đổi sang khoảng có dữ liệu</t>
        </is>
      </c>
      <c r="D72" s="70" t="inlineStr">
        <is>
          <t>Behavior</t>
        </is>
      </c>
      <c r="E72" s="70" t="inlineStr">
        <is>
          <t>Medium</t>
        </is>
      </c>
      <c r="F72" s="70" t="inlineStr">
        <is>
          <t>RQ-C25; OQ-06</t>
        </is>
      </c>
      <c r="G72" s="75" t="inlineStr">
        <is>
          <t>[UNCONFIRMED] Check empty state biến mất và danh sách hiện lại khi đổi sang khoảng ngày có dữ liệu.</t>
        </is>
      </c>
      <c r="H72" s="70" t="inlineStr">
        <is>
          <t>Tài xế DR00001 đã đăng nhập Mobile Web E06 (Safari iOS hoặc Chrome Android, viewport 390×844). Ngày hệ thống test cố định là 2026-10-08（木）. Dữ liệu seed có thẻ 倉庫受取 trong khoảng 2026-10-08 đến 2026-10-15.</t>
        </is>
      </c>
      <c r="I72" s="75" t="inlineStr">
        <is>
          <t>1. Mở Tab A, chọn khoảng 2027-01-04 đến 2027-01-11 để hiện empty state
2. Chọn lại 開始日 2026-10-08 và 終了日 2026-10-15</t>
        </is>
      </c>
      <c r="J72" s="70" t="inlineStr">
        <is>
          <t>Empty state biến mất, danh sách thẻ hiển thị lại.</t>
        </is>
      </c>
      <c r="K72" s="70" t="inlineStr">
        <is>
          <t>2027-01-04 rồi 2026-10-08</t>
        </is>
      </c>
      <c r="L72" s="70" t="inlineStr">
        <is>
          <t>Medium</t>
        </is>
      </c>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inlineStr">
        <is>
          <t>TC-SHP-L1-072</t>
        </is>
      </c>
      <c r="C73" s="75" t="inlineStr">
        <is>
          <t>DA_LIST_001_Kho / Thẻ 未受取 hôm nay mở màn sửa được</t>
        </is>
      </c>
      <c r="D73" s="70" t="inlineStr">
        <is>
          <t>Navigation</t>
        </is>
      </c>
      <c r="E73" s="70" t="inlineStr">
        <is>
          <t>High</t>
        </is>
      </c>
      <c r="F73" s="70" t="inlineStr">
        <is>
          <t>AC-38; RQ-D22; RQ-C01</t>
        </is>
      </c>
      <c r="G73" s="75" t="inlineStr">
        <is>
          <t>Check bấm thẻ 未受取 giao hôm nay thì mở màn nhận hàng có thể sửa.</t>
        </is>
      </c>
      <c r="H73" s="70" t="inlineStr">
        <is>
          <t>Tài xế DR00001 đã đăng nhập Mobile Web E06 (Safari iOS hoặc Chrome Android, viewport 390×844). Ngày hệ thống test cố định là 2026-10-08（木）. Dữ liệu seed có thẻ 倉庫受取 trong khoảng 2026-10-08 đến 2026-10-15.</t>
        </is>
      </c>
      <c r="I73" s="75" t="inlineStr">
        <is>
          <t>1. Mở Tab A
2. Bấm thẻ 「オージーフーズ倉庫」 trạng thái 未受取 ngày 2026-10-08</t>
        </is>
      </c>
      <c r="J73" s="75" t="inlineStr">
        <is>
          <t>Mở DA_RECV_001 (tick vận đơn và nút 「完了」 hoạt động).</t>
        </is>
      </c>
      <c r="K73" s="75" t="inlineStr">
        <is>
          <t>Thẻ 未受取 2026-10-08</t>
        </is>
      </c>
      <c r="L73" s="75" t="inlineStr">
        <is>
          <t>High</t>
        </is>
      </c>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inlineStr">
        <is>
          <t>TC-SHP-L1-073</t>
        </is>
      </c>
      <c r="C74" s="75" t="inlineStr">
        <is>
          <t>DA_LIST_001_Kho / Thẻ 受取済 mở màn chỉ đọc</t>
        </is>
      </c>
      <c r="D74" s="70" t="inlineStr">
        <is>
          <t>Navigation</t>
        </is>
      </c>
      <c r="E74" s="70" t="inlineStr">
        <is>
          <t>High</t>
        </is>
      </c>
      <c r="F74" s="70" t="inlineStr">
        <is>
          <t>AC-38; RQ-D22</t>
        </is>
      </c>
      <c r="G74" s="75" t="inlineStr">
        <is>
          <t>Check bấm thẻ 受取済 thì mở màn nhận hàng chỉ đọc.</t>
        </is>
      </c>
      <c r="H74" s="70" t="inlineStr">
        <is>
          <t>Tài xế DR00001 đã đăng nhập Mobile Web E06 (Safari iOS hoặc Chrome Android, viewport 390×844). Ngày hệ thống test cố định là 2026-10-08（木）. Dữ liệu seed có thẻ 倉庫受取 trong khoảng 2026-10-08 đến 2026-10-15.</t>
        </is>
      </c>
      <c r="I74" s="75" t="inlineStr">
        <is>
          <t>1. Mở Tab A
2. Bấm thẻ trạng thái 受取済</t>
        </is>
      </c>
      <c r="J74" s="75" t="inlineStr">
        <is>
          <t>Mở DA_RECV_003 ở chế độ chỉ đọc, không có checkbox sửa và không có nút 「完了」.</t>
        </is>
      </c>
      <c r="K74" s="75" t="inlineStr">
        <is>
          <t>Thẻ 受取済 2026-10-08</t>
        </is>
      </c>
      <c r="L74" s="75" t="inlineStr">
        <is>
          <t>High</t>
        </is>
      </c>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inlineStr">
        <is>
          <t>TC-SHP-L1-074</t>
        </is>
      </c>
      <c r="C75" s="75" t="inlineStr">
        <is>
          <t>DA_LIST_001_Kho / Thẻ トラブル mở màn chỉ đọc</t>
        </is>
      </c>
      <c r="D75" s="70" t="inlineStr">
        <is>
          <t>Navigation</t>
        </is>
      </c>
      <c r="E75" s="70" t="inlineStr">
        <is>
          <t>High</t>
        </is>
      </c>
      <c r="F75" s="70" t="inlineStr">
        <is>
          <t>AC-38; RQ-D22</t>
        </is>
      </c>
      <c r="G75" s="75" t="inlineStr">
        <is>
          <t>Check bấm thẻ トラブル thì mở màn nhận hàng chỉ đọc.</t>
        </is>
      </c>
      <c r="H75" s="70" t="inlineStr">
        <is>
          <t>Tài xế DR00001 đã đăng nhập Mobile Web E06 (Safari iOS hoặc Chrome Android, viewport 390×844). Ngày hệ thống test cố định là 2026-10-08（木）. Dữ liệu seed có thẻ 倉庫受取 trong khoảng 2026-10-08 đến 2026-10-15.</t>
        </is>
      </c>
      <c r="I75" s="75" t="inlineStr">
        <is>
          <t>1. Mở Tab A
2. Bấm thẻ trạng thái トラブル ngày 2026-10-09</t>
        </is>
      </c>
      <c r="J75" s="75" t="inlineStr">
        <is>
          <t>Mở DA_RECV_003 chỉ đọc, không thao tác được kiện hàng.</t>
        </is>
      </c>
      <c r="K75" s="75" t="inlineStr">
        <is>
          <t>Thẻ トラブル 2026-10-09</t>
        </is>
      </c>
      <c r="L75" s="75" t="inlineStr">
        <is>
          <t>High</t>
        </is>
      </c>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inlineStr">
        <is>
          <t>TC-SHP-L1-075</t>
        </is>
      </c>
      <c r="C76" s="75" t="inlineStr">
        <is>
          <t>DA_LIST_001_Kho / Thẻ 未受取 quá khứ mở màn chỉ đọc</t>
        </is>
      </c>
      <c r="D76" s="75" t="inlineStr">
        <is>
          <t>Navigation</t>
        </is>
      </c>
      <c r="E76" s="75" t="inlineStr">
        <is>
          <t>High</t>
        </is>
      </c>
      <c r="F76" s="75" t="inlineStr">
        <is>
          <t>AC-38; RQ-D22</t>
        </is>
      </c>
      <c r="G76" s="75" t="inlineStr">
        <is>
          <t>Check bấm thẻ 未受取 của ngày quá khứ thì mở màn chỉ đọc chứ không phải màn sửa.</t>
        </is>
      </c>
      <c r="H76" s="70" t="inlineStr">
        <is>
          <t>Tài xế DR00001 đã đăng nhập Mobile Web E06 (Safari iOS hoặc Chrome Android, viewport 390×844). Ngày hệ thống test cố định là 2026-10-08（木）. Dữ liệu seed có thẻ 倉庫受取 trong khoảng 2026-10-08 đến 2026-10-15.</t>
        </is>
      </c>
      <c r="I76" s="75" t="inlineStr">
        <is>
          <t>1. Chọn khoảng ngày 2026-10-01 đến 2026-10-15
2. Bấm thẻ 未受取 ngày 2026-10-07</t>
        </is>
      </c>
      <c r="J76" s="75" t="inlineStr">
        <is>
          <t>Mở DA_RECV_003 chỉ đọc, không mở DA_RECV_001.</t>
        </is>
      </c>
      <c r="K76" s="75" t="inlineStr">
        <is>
          <t>Thẻ 未受取 2026-10-07</t>
        </is>
      </c>
      <c r="L76" s="75" t="inlineStr">
        <is>
          <t>High</t>
        </is>
      </c>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inlineStr">
        <is>
          <t>TC-SHP-L1-076</t>
        </is>
      </c>
      <c r="C77" s="75" t="inlineStr">
        <is>
          <t>DA_LIST_001_Kho / Thẻ 未受取 tương lai mở màn chỉ đọc</t>
        </is>
      </c>
      <c r="D77" s="75" t="inlineStr">
        <is>
          <t>Navigation</t>
        </is>
      </c>
      <c r="E77" s="75" t="inlineStr">
        <is>
          <t>High</t>
        </is>
      </c>
      <c r="F77" s="75" t="inlineStr">
        <is>
          <t>AC-38; RQ-D22</t>
        </is>
      </c>
      <c r="G77" s="75" t="inlineStr">
        <is>
          <t>Check bấm thẻ 未受取 của ngày tương lai thì mở màn chỉ đọc.</t>
        </is>
      </c>
      <c r="H77" s="70" t="inlineStr">
        <is>
          <t>Tài xế DR00001 đã đăng nhập Mobile Web E06 (Safari iOS hoặc Chrome Android, viewport 390×844). Ngày hệ thống test cố định là 2026-10-08（木）. Dữ liệu seed có thẻ 倉庫受取 trong khoảng 2026-10-08 đến 2026-10-15.</t>
        </is>
      </c>
      <c r="I77" s="75" t="inlineStr">
        <is>
          <t>1. Mở Tab A với khoảng 2026-10-08 đến 2026-10-15
2. Bấm thẻ 未受取 ngày 2026-10-12</t>
        </is>
      </c>
      <c r="J77" s="75" t="inlineStr">
        <is>
          <t>Mở DA_RECV_003 chỉ đọc, không mở DA_RECV_001.</t>
        </is>
      </c>
      <c r="K77" s="75" t="inlineStr">
        <is>
          <t>Thẻ 未受取 2026-10-12</t>
        </is>
      </c>
      <c r="L77" s="75" t="inlineStr">
        <is>
          <t>High</t>
        </is>
      </c>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inlineStr">
        <is>
          <t>TC-SHP-L1-077</t>
        </is>
      </c>
      <c r="C78" s="80" t="inlineStr">
        <is>
          <t>DA_LIST_001_Kho / Thẻ bấm vào vùng trống của thẻ</t>
        </is>
      </c>
      <c r="D78" s="81" t="inlineStr">
        <is>
          <t>Navigation</t>
        </is>
      </c>
      <c r="E78" s="81" t="inlineStr">
        <is>
          <t>Medium</t>
        </is>
      </c>
      <c r="F78" s="81" t="inlineStr">
        <is>
          <t>AC-38; BD:DA_LIST_001_Kho_ListKho (item 15)</t>
        </is>
      </c>
      <c r="G78" s="81" t="inlineStr">
        <is>
          <t>Check toàn bộ vùng thẻ đều bấm được, kể cả vùng không có chữ.</t>
        </is>
      </c>
      <c r="H78" s="81" t="inlineStr">
        <is>
          <t>Tài xế DR00001 đã đăng nhập Mobile Web E06 (Safari iOS hoặc Chrome Android, viewport 390×844). Ngày hệ thống test cố định là 2026-10-08（木）. Dữ liệu seed có thẻ 倉庫受取 trong khoảng 2026-10-08 đến 2026-10-15.</t>
        </is>
      </c>
      <c r="I78" s="81" t="inlineStr">
        <is>
          <t>1. Mở Tab A
2. Bấm vào vùng trống bên phải dòng địa chỉ của thẻ 未受取 ngày 2026-10-08</t>
        </is>
      </c>
      <c r="J78" s="81" t="inlineStr">
        <is>
          <t>Mở DA_RECV_001 giống như bấm vào tên kho.</t>
        </is>
      </c>
      <c r="K78" s="81" t="inlineStr">
        <is>
          <t>Thẻ 未受取 2026-10-08</t>
        </is>
      </c>
      <c r="L78" s="81" t="inlineStr">
        <is>
          <t>Medium</t>
        </is>
      </c>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inlineStr">
        <is>
          <t>TC-SHP-L1-078</t>
        </is>
      </c>
      <c r="C79" s="80" t="inlineStr">
        <is>
          <t>DA_LIST_001_Kho / Thẻ bấm đúp liên tiếp</t>
        </is>
      </c>
      <c r="D79" s="81" t="inlineStr">
        <is>
          <t>Negative</t>
        </is>
      </c>
      <c r="E79" s="81" t="inlineStr">
        <is>
          <t>Medium</t>
        </is>
      </c>
      <c r="F79" s="81" t="inlineStr">
        <is>
          <t>AC-38</t>
        </is>
      </c>
      <c r="G79" s="81" t="inlineStr">
        <is>
          <t>Check bấm đúp nhanh vào thẻ chỉ mở một màn chi tiết.</t>
        </is>
      </c>
      <c r="H79" s="81" t="inlineStr">
        <is>
          <t>Tài xế DR00001 đã đăng nhập Mobile Web E06 (Safari iOS hoặc Chrome Android, viewport 390×844). Ngày hệ thống test cố định là 2026-10-08（木）. Dữ liệu seed có thẻ 倉庫受取 trong khoảng 2026-10-08 đến 2026-10-15.</t>
        </is>
      </c>
      <c r="I79" s="81" t="inlineStr">
        <is>
          <t>1. Mở Tab A
2. Bấm đúp nhanh vào thẻ 未受取 ngày 2026-10-08</t>
        </is>
      </c>
      <c r="J79" s="81" t="inlineStr">
        <is>
          <t>Chỉ mở một màn DA_RECV_001, không mở chồng hai màn, nút Back về lại Tab A ngay lần nhấn đầu.</t>
        </is>
      </c>
      <c r="K79" s="81" t="inlineStr">
        <is>
          <t>Thẻ 未受取 2026-10-08</t>
        </is>
      </c>
      <c r="L79" s="81" t="inlineStr">
        <is>
          <t>Medium</t>
        </is>
      </c>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inlineStr">
        <is>
          <t>TC-SHP-L1-079</t>
        </is>
      </c>
      <c r="C80" s="80" t="inlineStr">
        <is>
          <t>DA_LIST_001_Kho / Quay lại từ màn chi tiết giữ bộ lọc</t>
        </is>
      </c>
      <c r="D80" s="81" t="inlineStr">
        <is>
          <t>Navigation</t>
        </is>
      </c>
      <c r="E80" s="81" t="inlineStr">
        <is>
          <t>Medium</t>
        </is>
      </c>
      <c r="F80" s="81" t="inlineStr">
        <is>
          <t>AC-38; RQ-C24</t>
        </is>
      </c>
      <c r="G80" s="81" t="inlineStr">
        <is>
          <t>[UNCONFIRMED] Check quay lại từ màn chi tiết thì Tab A còn giữ khoảng ngày và bộ lọc đã chọn.</t>
        </is>
      </c>
      <c r="H80" s="81" t="inlineStr">
        <is>
          <t>Tài xế DR00001 đã đăng nhập Mobile Web E06 (Safari iOS hoặc Chrome Android, viewport 390×844). Ngày hệ thống test cố định là 2026-10-08（木）. Dữ liệu seed có thẻ 倉庫受取 trong khoảng 2026-10-08 đến 2026-10-15.</t>
        </is>
      </c>
      <c r="I80" s="81" t="inlineStr">
        <is>
          <t>1. Mở Tab A, chọn 終了日 2026-10-12 và dropdown 「受取済」
2. Bấm thẻ 受取済 để mở DA_RECV_003
3. Bấm nút back 「＜」</t>
        </is>
      </c>
      <c r="J80" s="81" t="inlineStr">
        <is>
          <t>Quay về Tab A. Ghi nhận khoảng ngày và dropdown giữ nguyên hay đặt lại (tài liệu chưa nêu).</t>
        </is>
      </c>
      <c r="K80" s="81" t="inlineStr">
        <is>
          <t>終了日 2026-10-12, 受取済</t>
        </is>
      </c>
      <c r="L80" s="81" t="inlineStr">
        <is>
          <t>Medium</t>
        </is>
      </c>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inlineStr">
        <is>
          <t>TC-SHP-L1-080</t>
        </is>
      </c>
      <c r="C81" s="80" t="inlineStr">
        <is>
          <t>DA_LIST_001_Kho / Bottom nav hiển thị 5 tab</t>
        </is>
      </c>
      <c r="D81" s="81" t="inlineStr">
        <is>
          <t>UI</t>
        </is>
      </c>
      <c r="E81" s="81" t="inlineStr">
        <is>
          <t>Medium</t>
        </is>
      </c>
      <c r="F81" s="81" t="inlineStr">
        <is>
          <t>RQ-B30; BD:DA_LIST_001_Kho_ListKho (item 16)</t>
        </is>
      </c>
      <c r="G81" s="81" t="inlineStr">
        <is>
          <t>[UNCONFIRMED] Check bottom nav có đủ 5 tab và tab 「配送一覧」 đang chọn.</t>
        </is>
      </c>
      <c r="H81" s="81" t="inlineStr">
        <is>
          <t>Tài xế DR00001 đã đăng nhập Mobile Web E06 (Safari iOS hoặc Chrome Android, viewport 390×844). Ngày hệ thống test cố định là 2026-10-08（木）. Dữ liệu seed có thẻ 倉庫受取 trong khoảng 2026-10-08 đến 2026-10-15.</t>
        </is>
      </c>
      <c r="I81" s="81" t="inlineStr">
        <is>
          <t>1. Mở Tab A
2. Quan sát bottom nav</t>
        </is>
      </c>
      <c r="J81" s="81" t="inlineStr">
        <is>
          <t>5 tab theo thứ tự 「ホーム」「マニュアル」「配送一覧」「トラブル」「アカウント」, tab 「配送一覧」 được nhấn mạnh màu xanh trong Figma (Basic Design ghi kiểu hiển thị tab chọn là UNKNOWN).</t>
        </is>
      </c>
      <c r="K81" s="81" t="inlineStr">
        <is>
          <t>-</t>
        </is>
      </c>
      <c r="L81" s="81" t="inlineStr">
        <is>
          <t>Medium</t>
        </is>
      </c>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inlineStr">
        <is>
          <t>TC-SHP-L1-081</t>
        </is>
      </c>
      <c r="C82" s="80" t="inlineStr">
        <is>
          <t>DA_LIST_001_Kho / Bottom nav ホーム</t>
        </is>
      </c>
      <c r="D82" s="81" t="inlineStr">
        <is>
          <t>Navigation</t>
        </is>
      </c>
      <c r="E82" s="81" t="inlineStr">
        <is>
          <t>Medium</t>
        </is>
      </c>
      <c r="F82" s="81" t="inlineStr">
        <is>
          <t>RQ-B30</t>
        </is>
      </c>
      <c r="G82" s="81" t="inlineStr">
        <is>
          <t>Check bấm 「ホーム」 mở màn Home.</t>
        </is>
      </c>
      <c r="H82" s="81" t="inlineStr">
        <is>
          <t>Tài xế DR00001 đã đăng nhập Mobile Web E06 (Safari iOS hoặc Chrome Android, viewport 390×844). Ngày hệ thống test cố định là 2026-10-08（木）. Dữ liệu seed có thẻ 倉庫受取 trong khoảng 2026-10-08 đến 2026-10-15.</t>
        </is>
      </c>
      <c r="I82" s="81" t="inlineStr">
        <is>
          <t>1. Mở Tab A
2. Bấm 「ホーム」</t>
        </is>
      </c>
      <c r="J82" s="81" t="inlineStr">
        <is>
          <t>Mở DA_HOME_001.</t>
        </is>
      </c>
      <c r="K82" s="81" t="inlineStr">
        <is>
          <t>-</t>
        </is>
      </c>
      <c r="L82" s="81" t="inlineStr">
        <is>
          <t>Medium</t>
        </is>
      </c>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inlineStr">
        <is>
          <t>TC-SHP-L1-082</t>
        </is>
      </c>
      <c r="C83" s="80" t="inlineStr">
        <is>
          <t>DA_LIST_001_Kho / Bottom nav 配送一覧</t>
        </is>
      </c>
      <c r="D83" s="81" t="inlineStr">
        <is>
          <t>Navigation</t>
        </is>
      </c>
      <c r="E83" s="81" t="inlineStr">
        <is>
          <t>Low</t>
        </is>
      </c>
      <c r="F83" s="81" t="inlineStr">
        <is>
          <t>RQ-B30</t>
        </is>
      </c>
      <c r="G83" s="81" t="inlineStr">
        <is>
          <t>Check bấm 「配送一覧」 khi đang ở Tab A giữ nguyên màn.</t>
        </is>
      </c>
      <c r="H83" s="81" t="inlineStr">
        <is>
          <t>Tài xế DR00001 đã đăng nhập Mobile Web E06 (Safari iOS hoặc Chrome Android, viewport 390×844). Ngày hệ thống test cố định là 2026-10-08（木）. Dữ liệu seed có thẻ 倉庫受取 trong khoảng 2026-10-08 đến 2026-10-15.</t>
        </is>
      </c>
      <c r="I83" s="81" t="inlineStr">
        <is>
          <t>1. Mở Tab A
2. Bấm 「配送一覧」</t>
        </is>
      </c>
      <c r="J83" s="81" t="inlineStr">
        <is>
          <t>Giữ nguyên DA_LIST_001_Kho.</t>
        </is>
      </c>
      <c r="K83" s="81" t="inlineStr">
        <is>
          <t>-</t>
        </is>
      </c>
      <c r="L83" s="81" t="inlineStr">
        <is>
          <t>Low</t>
        </is>
      </c>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inlineStr">
        <is>
          <t>TC-SHP-L1-083</t>
        </is>
      </c>
      <c r="C84" s="80" t="inlineStr">
        <is>
          <t>DA_LIST_001_Kho / Bottom nav アカウント</t>
        </is>
      </c>
      <c r="D84" s="81" t="inlineStr">
        <is>
          <t>Navigation</t>
        </is>
      </c>
      <c r="E84" s="81" t="inlineStr">
        <is>
          <t>Medium</t>
        </is>
      </c>
      <c r="F84" s="81" t="inlineStr">
        <is>
          <t>RQ-B30</t>
        </is>
      </c>
      <c r="G84" s="81" t="inlineStr">
        <is>
          <t>Check bấm 「アカウント」 mở My Page.</t>
        </is>
      </c>
      <c r="H84" s="81" t="inlineStr">
        <is>
          <t>Tài xế DR00001 đã đăng nhập Mobile Web E06 (Safari iOS hoặc Chrome Android, viewport 390×844). Ngày hệ thống test cố định là 2026-10-08（木）. Dữ liệu seed có thẻ 倉庫受取 trong khoảng 2026-10-08 đến 2026-10-15.</t>
        </is>
      </c>
      <c r="I84" s="81" t="inlineStr">
        <is>
          <t>1. Mở Tab A
2. Bấm 「アカウント」</t>
        </is>
      </c>
      <c r="J84" s="81" t="inlineStr">
        <is>
          <t>Mở DA_HOME_005.</t>
        </is>
      </c>
      <c r="K84" s="81" t="inlineStr">
        <is>
          <t>-</t>
        </is>
      </c>
      <c r="L84" s="81" t="inlineStr">
        <is>
          <t>Medium</t>
        </is>
      </c>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inlineStr">
        <is>
          <t>TC-SHP-L1-084</t>
        </is>
      </c>
      <c r="C85" s="80" t="inlineStr">
        <is>
          <t>DA_LIST_001_Kho / Bottom nav マニュアル</t>
        </is>
      </c>
      <c r="D85" s="81" t="inlineStr">
        <is>
          <t>Navigation</t>
        </is>
      </c>
      <c r="E85" s="81" t="inlineStr">
        <is>
          <t>Low</t>
        </is>
      </c>
      <c r="F85" s="81" t="inlineStr">
        <is>
          <t>RQ-B30; OQ-01</t>
        </is>
      </c>
      <c r="G85" s="81" t="inlineStr">
        <is>
          <t>[UNCONFIRMED] Check bấm 「マニュアル」 (màn đích chưa thiết kế).</t>
        </is>
      </c>
      <c r="H85" s="81" t="inlineStr">
        <is>
          <t>Tài xế DR00001 đã đăng nhập Mobile Web E06 (Safari iOS hoặc Chrome Android, viewport 390×844). Ngày hệ thống test cố định là 2026-10-08（木）. Dữ liệu seed có thẻ 倉庫受取 trong khoảng 2026-10-08 đến 2026-10-15.</t>
        </is>
      </c>
      <c r="I85" s="81" t="inlineStr">
        <is>
          <t>1. Mở Tab A
2. Bấm 「マニュアル」</t>
        </is>
      </c>
      <c r="J85" s="81" t="inlineStr">
        <is>
          <t>Ghi nhận hành vi thực tế. Đích chưa được định nghĩa (OQ-01).</t>
        </is>
      </c>
      <c r="K85" s="81" t="inlineStr">
        <is>
          <t>-</t>
        </is>
      </c>
      <c r="L85" s="81" t="inlineStr">
        <is>
          <t>Low</t>
        </is>
      </c>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inlineStr">
        <is>
          <t>TC-SHP-L1-085</t>
        </is>
      </c>
      <c r="C86" s="80" t="inlineStr">
        <is>
          <t>DA_LIST_001_Kho / Bottom nav トラブル</t>
        </is>
      </c>
      <c r="D86" s="81" t="inlineStr">
        <is>
          <t>Navigation</t>
        </is>
      </c>
      <c r="E86" s="81" t="inlineStr">
        <is>
          <t>Low</t>
        </is>
      </c>
      <c r="F86" s="81" t="inlineStr">
        <is>
          <t>RQ-B30</t>
        </is>
      </c>
      <c r="G86" s="81" t="inlineStr">
        <is>
          <t>[UNCONFIRMED] Check bấm 「トラブル」 từ Tab A (SPEC chưa định nghĩa chuyển màn từ màn này, trong khi Home dẫn tới E-16).</t>
        </is>
      </c>
      <c r="H86" s="81" t="inlineStr">
        <is>
          <t>Tài xế DR00001 đã đăng nhập Mobile Web E06 (Safari iOS hoặc Chrome Android, viewport 390×844). Ngày hệ thống test cố định là 2026-10-08（木）. Dữ liệu seed có thẻ 倉庫受取 trong khoảng 2026-10-08 đến 2026-10-15.</t>
        </is>
      </c>
      <c r="I86" s="81" t="inlineStr">
        <is>
          <t>1. Mở Tab A
2. Bấm 「トラブル」</t>
        </is>
      </c>
      <c r="J86" s="81" t="inlineStr">
        <is>
          <t>Ghi nhận hành vi thực tế. Đích chưa được định nghĩa cho màn này.</t>
        </is>
      </c>
      <c r="K86" s="81" t="inlineStr">
        <is>
          <t>-</t>
        </is>
      </c>
      <c r="L86" s="81" t="inlineStr">
        <is>
          <t>Low</t>
        </is>
      </c>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inlineStr">
        <is>
          <t>TC-SHP-L1-086</t>
        </is>
      </c>
      <c r="C87" s="80" t="inlineStr">
        <is>
          <t>DA_LIST_001_Kho / Kéo làm mới</t>
        </is>
      </c>
      <c r="D87" s="81" t="inlineStr">
        <is>
          <t>Mobile</t>
        </is>
      </c>
      <c r="E87" s="81" t="inlineStr">
        <is>
          <t>Medium</t>
        </is>
      </c>
      <c r="F87" s="81" t="inlineStr">
        <is>
          <t>OQ-10; AC-28</t>
        </is>
      </c>
      <c r="G87" s="81" t="inlineStr">
        <is>
          <t>Check kéo xuống để làm mới Tab A tải lại dữ liệu mà không cần tải lại trang.</t>
        </is>
      </c>
      <c r="H87" s="81" t="inlineStr">
        <is>
          <t>Tài xế DR00001 đã đăng nhập Mobile Web E06 (Safari iOS hoặc Chrome Android, viewport 390×844). Ngày hệ thống test cố định là 2026-10-08（木）. Dữ liệu seed có thẻ 倉庫受取 trong khoảng 2026-10-08 đến 2026-10-15.</t>
        </is>
      </c>
      <c r="I87" s="81" t="inlineStr">
        <is>
          <t>1. Mở màn
2. Admin đổi trạng thái một thẻ ở hệ thống khác
3. Kéo xuống từ đầu danh sách rồi thả</t>
        </is>
      </c>
      <c r="J87" s="81" t="inlineStr">
        <is>
          <t>Hiện chỉ báo làm mới, danh sách tải lại và hiển thị trạng thái mới. Không có polling hay WebSocket tự cập nhật trước khi kéo.</t>
        </is>
      </c>
      <c r="K87" s="81" t="inlineStr">
        <is>
          <t>Thẻ đổi trạng thái</t>
        </is>
      </c>
      <c r="L87" s="81" t="inlineStr">
        <is>
          <t>Medium</t>
        </is>
      </c>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inlineStr">
        <is>
          <t>TC-SHP-L1-087</t>
        </is>
      </c>
      <c r="C88" s="75" t="inlineStr">
        <is>
          <t>DA_LIST_001_Kho / Bàn phím ảo khi nhập tìm kiếm</t>
        </is>
      </c>
      <c r="D88" s="81" t="inlineStr">
        <is>
          <t>Mobile</t>
        </is>
      </c>
      <c r="E88" s="81" t="inlineStr">
        <is>
          <t>Medium</t>
        </is>
      </c>
      <c r="F88" s="81" t="inlineStr">
        <is>
          <t>AC-31</t>
        </is>
      </c>
      <c r="G88" s="75" t="inlineStr">
        <is>
          <t>Check bàn phím ảo không che ô tìm kiếm khi đang nhập.</t>
        </is>
      </c>
      <c r="H88" s="81" t="inlineStr">
        <is>
          <t>Tài xế DR00001 đã đăng nhập Mobile Web E06 (Safari iOS hoặc Chrome Android, viewport 390×844). Ngày hệ thống test cố định là 2026-10-08（木）. Dữ liệu seed có thẻ 倉庫受取 trong khoảng 2026-10-08 đến 2026-10-15.</t>
        </is>
      </c>
      <c r="I88" s="75" t="inlineStr">
        <is>
          <t>1. Mở màn
2. Bấm vào ô tìm kiếm</t>
        </is>
      </c>
      <c r="J88" s="75" t="inlineStr">
        <is>
          <t>Bàn phím ảo hiện và ô tìm kiếm vẫn nhìn thấy được, chữ nhập hiển thị.</t>
        </is>
      </c>
      <c r="K88" s="75" t="inlineStr">
        <is>
          <t>-</t>
        </is>
      </c>
      <c r="L88" s="75" t="inlineStr">
        <is>
          <t>Medium</t>
        </is>
      </c>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inlineStr">
        <is>
          <t>TC-SHP-L1-088</t>
        </is>
      </c>
      <c r="C89" s="75" t="inlineStr">
        <is>
          <t>DA_LIST_001_Kho / Xoay màn hình</t>
        </is>
      </c>
      <c r="D89" s="81" t="inlineStr">
        <is>
          <t>Mobile</t>
        </is>
      </c>
      <c r="E89" s="81" t="inlineStr">
        <is>
          <t>Low</t>
        </is>
      </c>
      <c r="F89" s="81" t="inlineStr">
        <is>
          <t>OQ-28</t>
        </is>
      </c>
      <c r="G89" s="75" t="inlineStr">
        <is>
          <t>Check xoay màn hình ngang rồi dọc không mất bộ lọc và không vỡ bố cục.</t>
        </is>
      </c>
      <c r="H89" s="81" t="inlineStr">
        <is>
          <t>Tài xế DR00001 đã đăng nhập Mobile Web E06 (Safari iOS hoặc Chrome Android, viewport 390×844). Ngày hệ thống test cố định là 2026-10-08（木）. Dữ liệu seed có thẻ 倉庫受取 trong khoảng 2026-10-08 đến 2026-10-15.</t>
        </is>
      </c>
      <c r="I89" s="75" t="inlineStr">
        <is>
          <t>1. Mở màn, chọn một bộ lọc và nhập từ khoá
2. Xoay ngang rồi xoay dọc lại</t>
        </is>
      </c>
      <c r="J89" s="75" t="inlineStr">
        <is>
          <t>Bộ lọc và từ khoá giữ nguyên, bố cục không bị vỡ hay chồng đè.</t>
        </is>
      </c>
      <c r="K89" s="75" t="inlineStr">
        <is>
          <t>-</t>
        </is>
      </c>
      <c r="L89" s="75" t="inlineStr">
        <is>
          <t>Low</t>
        </is>
      </c>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inlineStr">
        <is>
          <t>TC-SHP-L1-089</t>
        </is>
      </c>
      <c r="C90" s="75" t="inlineStr">
        <is>
          <t>DA_LIST_001_Kho / Viewport 320px</t>
        </is>
      </c>
      <c r="D90" s="81" t="inlineStr">
        <is>
          <t>Mobile</t>
        </is>
      </c>
      <c r="E90" s="81" t="inlineStr">
        <is>
          <t>Medium</t>
        </is>
      </c>
      <c r="F90" s="81" t="inlineStr">
        <is>
          <t>OQ-28</t>
        </is>
      </c>
      <c r="G90" s="75" t="inlineStr">
        <is>
          <t>Check bố cục hiển thị đúng ở chiều rộng 320px.</t>
        </is>
      </c>
      <c r="H90" s="81" t="inlineStr">
        <is>
          <t>Tài xế DR00001 đã đăng nhập Mobile Web E06 (Safari iOS hoặc Chrome Android, viewport 390×844). Ngày hệ thống test cố định là 2026-10-08（木）. Dữ liệu seed có thẻ 倉庫受取 trong khoảng 2026-10-08 đến 2026-10-15.</t>
        </is>
      </c>
      <c r="I90" s="75" t="inlineStr">
        <is>
          <t>1. Đặt viewport rộng 320px
2. Mở màn và cuộn toàn bộ danh sách</t>
        </is>
      </c>
      <c r="J90" s="75" t="inlineStr">
        <is>
          <t>Không có cuộn ngang, không bị cắt chữ ngoài quy tắc rút gọn, ô khoảng ngày, thanh tab, bộ lọc và bottom nav hiển thị đủ. Font không scale theo chiều rộng.</t>
        </is>
      </c>
      <c r="K90" s="75" t="inlineStr">
        <is>
          <t>320px</t>
        </is>
      </c>
      <c r="L90" s="75" t="inlineStr">
        <is>
          <t>Medium</t>
        </is>
      </c>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inlineStr">
        <is>
          <t>TC-SHP-L1-090</t>
        </is>
      </c>
      <c r="C91" s="75" t="inlineStr">
        <is>
          <t>DA_LIST_001_Kho / Viewport 480px</t>
        </is>
      </c>
      <c r="D91" s="81" t="inlineStr">
        <is>
          <t>Mobile</t>
        </is>
      </c>
      <c r="E91" s="81" t="inlineStr">
        <is>
          <t>Medium</t>
        </is>
      </c>
      <c r="F91" s="81" t="inlineStr">
        <is>
          <t>OQ-28</t>
        </is>
      </c>
      <c r="G91" s="75" t="inlineStr">
        <is>
          <t>Check bố cục hiển thị đúng ở chiều rộng 480px.</t>
        </is>
      </c>
      <c r="H91" s="81" t="inlineStr">
        <is>
          <t>Tài xế DR00001 đã đăng nhập Mobile Web E06 (Safari iOS hoặc Chrome Android, viewport 390×844). Ngày hệ thống test cố định là 2026-10-08（木）. Dữ liệu seed có thẻ 倉庫受取 trong khoảng 2026-10-08 đến 2026-10-15.</t>
        </is>
      </c>
      <c r="I91" s="75" t="inlineStr">
        <is>
          <t>1. Đặt viewport rộng 480px
2. Mở màn và cuộn toàn bộ danh sách</t>
        </is>
      </c>
      <c r="J91" s="75" t="inlineStr">
        <is>
          <t>Không có cuộn ngang, không bị cắt chữ ngoài quy tắc rút gọn, ô khoảng ngày, thanh tab, bộ lọc và bottom nav hiển thị đủ. Font không scale theo chiều rộng.</t>
        </is>
      </c>
      <c r="K91" s="75" t="inlineStr">
        <is>
          <t>480px</t>
        </is>
      </c>
      <c r="L91" s="75" t="inlineStr">
        <is>
          <t>Medium</t>
        </is>
      </c>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inlineStr">
        <is>
          <t>TC-SHP-L1-091</t>
        </is>
      </c>
      <c r="C92" s="75" t="inlineStr">
        <is>
          <t>DA_LIST_001_Kho / Nút Back của trình duyệt</t>
        </is>
      </c>
      <c r="D92" s="81" t="inlineStr">
        <is>
          <t>Mobile</t>
        </is>
      </c>
      <c r="E92" s="81" t="inlineStr">
        <is>
          <t>Medium</t>
        </is>
      </c>
      <c r="F92" s="81" t="inlineStr">
        <is>
          <t>OQ-30</t>
        </is>
      </c>
      <c r="G92" s="75" t="inlineStr">
        <is>
          <t>[UNCONFIRMED] Check bấm nút Back của trình duyệt khi ở màn danh sách.</t>
        </is>
      </c>
      <c r="H92" s="81" t="inlineStr">
        <is>
          <t>Tài xế DR00001 đã đăng nhập Mobile Web E06 (Safari iOS hoặc Chrome Android, viewport 390×844). Ngày hệ thống test cố định là 2026-10-08（木）. Dữ liệu seed có thẻ 倉庫受取 trong khoảng 2026-10-08 đến 2026-10-15.</t>
        </is>
      </c>
      <c r="I92" s="75" t="inlineStr">
        <is>
          <t>1. Từ Home bấm tab 「配送一覧」
2. Bấm nút Back của trình duyệt</t>
        </is>
      </c>
      <c r="J92" s="75" t="inlineStr">
        <is>
          <t>Quay về màn trước (Home). Ghi nhận hành vi khi đã đổi tab (Back về tab trước hay về Home).</t>
        </is>
      </c>
      <c r="K92" s="75" t="inlineStr">
        <is>
          <t>-</t>
        </is>
      </c>
      <c r="L92" s="75" t="inlineStr">
        <is>
          <t>Medium</t>
        </is>
      </c>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inlineStr">
        <is>
          <t>TC-SHP-L1-092</t>
        </is>
      </c>
      <c r="C93" s="75" t="inlineStr">
        <is>
          <t>DA_LIST_001_Kho / Tải lại trang F5</t>
        </is>
      </c>
      <c r="D93" s="81" t="inlineStr">
        <is>
          <t>Mobile</t>
        </is>
      </c>
      <c r="E93" s="81" t="inlineStr">
        <is>
          <t>Medium</t>
        </is>
      </c>
      <c r="F93" s="81" t="inlineStr">
        <is>
          <t>OQ-30</t>
        </is>
      </c>
      <c r="G93" s="75" t="inlineStr">
        <is>
          <t>[UNCONFIRMED] Check tải lại trang tại URL /deliveries.</t>
        </is>
      </c>
      <c r="H93" s="81" t="inlineStr">
        <is>
          <t>Tài xế DR00001 đã đăng nhập Mobile Web E06 (Safari iOS hoặc Chrome Android, viewport 390×844). Ngày hệ thống test cố định là 2026-10-08（木）. Dữ liệu seed có thẻ 倉庫受取 trong khoảng 2026-10-08 đến 2026-10-15.</t>
        </is>
      </c>
      <c r="I93" s="75" t="inlineStr">
        <is>
          <t>1. Mở màn tại URL /deliveries
2. Chọn một bộ lọc rồi tải lại trang</t>
        </is>
      </c>
      <c r="J93" s="75" t="inlineStr">
        <is>
          <t>Trang tải lại đúng màn danh sách, giữ đăng nhập, khoảng ngày về mặc định 2026-10-08 đến 2026-10-15. Ghi nhận tab được chọn sau khi tải lại.</t>
        </is>
      </c>
      <c r="K93" s="75" t="inlineStr">
        <is>
          <t>/deliveries</t>
        </is>
      </c>
      <c r="L93" s="75" t="inlineStr">
        <is>
          <t>Medium</t>
        </is>
      </c>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inlineStr">
        <is>
          <t>TC-SHP-L1-093</t>
        </is>
      </c>
      <c r="C94" s="75" t="inlineStr">
        <is>
          <t>DA_LIST_001_Kho / Mất mạng khi tải danh sách</t>
        </is>
      </c>
      <c r="D94" s="81" t="inlineStr">
        <is>
          <t>Negative</t>
        </is>
      </c>
      <c r="E94" s="81" t="inlineStr">
        <is>
          <t>High</t>
        </is>
      </c>
      <c r="F94" s="81" t="inlineStr">
        <is>
          <t>COMMON_ENV_004; OQ-08</t>
        </is>
      </c>
      <c r="G94" s="75" t="inlineStr">
        <is>
          <t>[UNCONFIRMED] Check hiển thị khi mất mạng lúc tải danh sách.</t>
        </is>
      </c>
      <c r="H94" s="81" t="inlineStr">
        <is>
          <t>Tài xế DR00001 đã đăng nhập Mobile Web E06 (Safari iOS hoặc Chrome Android, viewport 390×844). Ngày hệ thống test cố định là 2026-10-08（木）. Dữ liệu seed có thẻ 倉庫受取 trong khoảng 2026-10-08 đến 2026-10-15.</t>
        </is>
      </c>
      <c r="I94" s="75" t="inlineStr">
        <is>
          <t>1. Mở màn
2. Tắt kết nối mạng của thiết bị
3. Đổi 終了日 để tải lại danh sách</t>
        </is>
      </c>
      <c r="J94" s="75" t="inlineStr">
        <is>
          <t>Hiển thị thông báo COMMON_ENV_004 (câu chữ chưa chốt), cho phép thử lại, không crash màn.</t>
        </is>
      </c>
      <c r="K94" s="75" t="inlineStr">
        <is>
          <t>-</t>
        </is>
      </c>
      <c r="L94" s="75" t="inlineStr">
        <is>
          <t>High</t>
        </is>
      </c>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inlineStr">
        <is>
          <t>TC-SHP-L1-094</t>
        </is>
      </c>
      <c r="C95" s="75" t="inlineStr">
        <is>
          <t>DA_LIST_001_Kho / Lỗi server 5xx khi tải danh sách</t>
        </is>
      </c>
      <c r="D95" s="81" t="inlineStr">
        <is>
          <t>Negative</t>
        </is>
      </c>
      <c r="E95" s="81" t="inlineStr">
        <is>
          <t>High</t>
        </is>
      </c>
      <c r="F95" s="81" t="inlineStr">
        <is>
          <t>COMMON_SYS_006; OQ-08</t>
        </is>
      </c>
      <c r="G95" s="75" t="inlineStr">
        <is>
          <t>[UNCONFIRMED] Check hiển thị khi API danh sách trả lỗi 500.</t>
        </is>
      </c>
      <c r="H95" s="81" t="inlineStr">
        <is>
          <t>Tài xế DR00001 đã đăng nhập Mobile Web E06 (Safari iOS hoặc Chrome Android, viewport 390×844). Ngày hệ thống test cố định là 2026-10-08（木）. Dữ liệu seed có thẻ 倉庫受取 trong khoảng 2026-10-08 đến 2026-10-15.</t>
        </is>
      </c>
      <c r="I95" s="75" t="inlineStr">
        <is>
          <t>1. Mở màn
2. Giả lập API danh sách trả HTTP 500
3. Đổi 終了日 để tải lại danh sách</t>
        </is>
      </c>
      <c r="J95" s="75" t="inlineStr">
        <is>
          <t>Hiển thị thông báo COMMON_SYS_006 (câu chữ chưa chốt), giữ bộ lọc đang chọn, cho phép thử lại.</t>
        </is>
      </c>
      <c r="K95" s="75" t="inlineStr">
        <is>
          <t>-</t>
        </is>
      </c>
      <c r="L95" s="75" t="inlineStr">
        <is>
          <t>High</t>
        </is>
      </c>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inlineStr">
        <is>
          <t>TC-SHP-L1-095</t>
        </is>
      </c>
      <c r="C96" s="75" t="inlineStr">
        <is>
          <t>DA_LIST_001_Kho / Session hết hạn khi tải danh sách</t>
        </is>
      </c>
      <c r="D96" s="81" t="inlineStr">
        <is>
          <t>Negative</t>
        </is>
      </c>
      <c r="E96" s="81" t="inlineStr">
        <is>
          <t>High</t>
        </is>
      </c>
      <c r="F96" s="81" t="inlineStr">
        <is>
          <t>COMMON_SYS_007; OQ-09</t>
        </is>
      </c>
      <c r="G96" s="75" t="inlineStr">
        <is>
          <t>[UNCONFIRMED] Check hiển thị khi session hết hạn lúc tải danh sách.</t>
        </is>
      </c>
      <c r="H96" s="81" t="inlineStr">
        <is>
          <t>Tài xế DR00001 đã đăng nhập Mobile Web E06 (Safari iOS hoặc Chrome Android, viewport 390×844). Ngày hệ thống test cố định là 2026-10-08（木）. Dữ liệu seed có thẻ 倉庫受取 trong khoảng 2026-10-08 đến 2026-10-15.</t>
        </is>
      </c>
      <c r="I96" s="75" t="inlineStr">
        <is>
          <t>1. Mở màn
2. Xóa session hợp lệ của tài xế
3. Đổi 終了日 để tải lại danh sách</t>
        </is>
      </c>
      <c r="J96" s="75" t="inlineStr">
        <is>
          <t>Hiển thị thông báo COMMON_SYS_007 (câu chữ chưa chốt) và đưa về màn đăng nhập DA_AUTHEN_001.</t>
        </is>
      </c>
      <c r="K96" s="75" t="inlineStr">
        <is>
          <t>-</t>
        </is>
      </c>
      <c r="L96" s="75" t="inlineStr">
        <is>
          <t>High</t>
        </is>
      </c>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inlineStr">
        <is>
          <t>TC-SHP-L1-096</t>
        </is>
      </c>
      <c r="C97" s="75" t="inlineStr">
        <is>
          <t>DA_LIST_001_Kho / Truy cập URL khi chưa đăng nhập</t>
        </is>
      </c>
      <c r="D97" s="81" t="inlineStr">
        <is>
          <t>Security</t>
        </is>
      </c>
      <c r="E97" s="81" t="inlineStr">
        <is>
          <t>High</t>
        </is>
      </c>
      <c r="F97" s="81" t="inlineStr">
        <is>
          <t>OQ-30; OQ-09</t>
        </is>
      </c>
      <c r="G97" s="75" t="inlineStr">
        <is>
          <t>Check mở trực tiếp URL /deliveries khi chưa đăng nhập.</t>
        </is>
      </c>
      <c r="H97" s="81" t="inlineStr">
        <is>
          <t>Chưa đăng nhập, trình duyệt không có session.</t>
        </is>
      </c>
      <c r="I97" s="75" t="inlineStr">
        <is>
          <t>1. Mở trực tiếp URL /deliveries</t>
        </is>
      </c>
      <c r="J97" s="75" t="inlineStr">
        <is>
          <t>Không thấy dữ liệu danh sách, được chuyển về màn đăng nhập DA_AUTHEN_001.</t>
        </is>
      </c>
      <c r="K97" s="75" t="inlineStr">
        <is>
          <t>/deliveries</t>
        </is>
      </c>
      <c r="L97" s="75" t="inlineStr">
        <is>
          <t>High</t>
        </is>
      </c>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v>97</v>
      </c>
      <c r="B98" s="83" t="inlineStr">
        <is>
          <t>TC-SHP-L1-097</t>
        </is>
      </c>
      <c r="C98" s="75" t="inlineStr">
        <is>
          <t>DA_LIST_001_Kho / Dữ liệu đổi bởi admin khi đang xem</t>
        </is>
      </c>
      <c r="D98" s="57" t="inlineStr">
        <is>
          <t>Negative</t>
        </is>
      </c>
      <c r="E98" s="57" t="inlineStr">
        <is>
          <t>Low</t>
        </is>
      </c>
      <c r="F98" s="57" t="inlineStr">
        <is>
          <t>OQ-10</t>
        </is>
      </c>
      <c r="G98" s="84" t="inlineStr">
        <is>
          <t>[UNCONFIRMED] Check trạng thái thẻ không tự cập nhật khi admin đổi dữ liệu lúc tài xế đang xem.</t>
        </is>
      </c>
      <c r="H98" s="85" t="inlineStr">
        <is>
          <t>Tài xế DR00001 đã đăng nhập Mobile Web E06 (Safari iOS hoặc Chrome Android, viewport 390×844). Ngày hệ thống test cố định là 2026-10-08（木）. Dữ liệu seed có thẻ 倉庫受取 trong khoảng 2026-10-08 đến 2026-10-15.</t>
        </is>
      </c>
      <c r="I98" s="86" t="inlineStr">
        <is>
          <t>1. Mở màn và ghi lại trạng thái một thẻ
2. Admin đổi trạng thái thẻ đó
3. Chờ 60 giây không thao tác</t>
        </is>
      </c>
      <c r="J98" s="86" t="inlineStr">
        <is>
          <t>Danh sách không tự cập nhật (không polling). Chỉ cập nhật sau khi kéo làm mới hoặc tải lại. Xung đột không có thông báo riêng.</t>
        </is>
      </c>
      <c r="K98" s="86" t="inlineStr">
        <is>
          <t>-</t>
        </is>
      </c>
      <c r="L98" s="86" t="inlineStr">
        <is>
          <t>Low</t>
        </is>
      </c>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TC-SHP-L2-001</t>
        </is>
      </c>
      <c r="C2" s="63" t="inlineStr">
        <is>
          <t>DA_LIST_002_ES / Tổng thể màn hình</t>
        </is>
      </c>
      <c r="D2" s="71" t="inlineStr">
        <is>
          <t>UI</t>
        </is>
      </c>
      <c r="E2" s="71" t="inlineStr">
        <is>
          <t>Medium</t>
        </is>
      </c>
      <c r="F2" s="71" t="inlineStr">
        <is>
          <t>BD:DA_LIST_002_ES_ListES; AC-28</t>
        </is>
      </c>
      <c r="G2" s="63" t="inlineStr">
        <is>
          <t>[UI Visual] Check bố cục tổng thể màn Tab B 「未配送」 khớp ảnh Figma node 20297:179762.</t>
        </is>
      </c>
      <c r="H2" s="7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2" s="71" t="inlineStr">
        <is>
          <t>1. Mở màn 配送一覧 và chọn tab 「未配送」
2. Quan sát toàn bộ màn từ trên xuống</t>
        </is>
      </c>
      <c r="J2" s="70" t="inlineStr">
        <is>
          <t>Từ trên xuống dưới: ảnh header ESSTATION kèm chuông, tiêu đề 「配送一覧」 cùng ô khoảng ngày, thanh tab (tab 「未配送」 đang chọn), nút lọc 「倉庫・中継」, ô tìm kiếm placeholder 「納品先拠点名・住所」, danh sách thẻ có icon loại giao, tên điểm giao, ngày, tên kho kèm icon kho, địa chỉ, thống kê, bottom nav 5 tab.</t>
        </is>
      </c>
      <c r="K2" s="70" t="inlineStr">
        <is>
          <t>-</t>
        </is>
      </c>
      <c r="L2" s="70" t="inlineStr">
        <is>
          <t>Medium</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TC-SHP-L2-002</t>
        </is>
      </c>
      <c r="C3" s="63" t="inlineStr">
        <is>
          <t>DA_LIST_002_ES / Tiêu đề header</t>
        </is>
      </c>
      <c r="D3" s="63" t="inlineStr">
        <is>
          <t>UI</t>
        </is>
      </c>
      <c r="E3" s="63" t="inlineStr">
        <is>
          <t>Low</t>
        </is>
      </c>
      <c r="F3" s="63" t="inlineStr">
        <is>
          <t>BD:DA_LIST_002_ES_ListES</t>
        </is>
      </c>
      <c r="G3" s="63" t="inlineStr">
        <is>
          <t>Check tiêu đề màn hiển thị đúng chữ 「配送一覧」.</t>
        </is>
      </c>
      <c r="H3" s="7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3" s="71" t="inlineStr">
        <is>
          <t>1. Mở tab 「未配送」</t>
        </is>
      </c>
      <c r="J3" s="70" t="inlineStr">
        <is>
          <t>Tiêu đề hiển thị 「配送一覧」.</t>
        </is>
      </c>
      <c r="K3" s="70" t="inlineStr">
        <is>
          <t>-</t>
        </is>
      </c>
      <c r="L3" s="70" t="inlineStr">
        <is>
          <t>Low</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TC-SHP-L2-003</t>
        </is>
      </c>
      <c r="C4" s="71" t="inlineStr">
        <is>
          <t>DA_LIST_002_ES / Date picker 開始日 giá trị mặc định</t>
        </is>
      </c>
      <c r="D4" s="63" t="inlineStr">
        <is>
          <t>UI</t>
        </is>
      </c>
      <c r="E4" s="63" t="inlineStr">
        <is>
          <t>Medium</t>
        </is>
      </c>
      <c r="F4" s="63" t="inlineStr">
        <is>
          <t>AC-28; RQ-C03</t>
        </is>
      </c>
      <c r="G4" s="63" t="inlineStr">
        <is>
          <t>Check giá trị mặc định của 開始日 khi mở Tab B 「未配送」 là ngày hôm nay.</t>
        </is>
      </c>
      <c r="H4" s="63"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4" s="71" t="inlineStr">
        <is>
          <t>1. Mở màn 配送一覧 bằng bottom nav 「配送一覧」 rồi chọn tab Tab B 「未配送」
2. Quan sát vùng chọn khoảng ngày dưới tiêu đề 「配送一覧」 (vùng 1.1)</t>
        </is>
      </c>
      <c r="J4" s="70" t="inlineStr">
        <is>
          <t>開始日 hiển thị 2026-10-08 (ngày hệ thống hôm nay).</t>
        </is>
      </c>
      <c r="K4" s="70" t="inlineStr">
        <is>
          <t>Hôm nay 2026-10-08</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TC-SHP-L2-004</t>
        </is>
      </c>
      <c r="C5" s="71" t="inlineStr">
        <is>
          <t>DA_LIST_002_ES / Date picker 終了日 giá trị mặc định</t>
        </is>
      </c>
      <c r="D5" s="63" t="inlineStr">
        <is>
          <t>UI</t>
        </is>
      </c>
      <c r="E5" s="63" t="inlineStr">
        <is>
          <t>Medium</t>
        </is>
      </c>
      <c r="F5" s="63" t="inlineStr">
        <is>
          <t>AC-28; RQ-C03</t>
        </is>
      </c>
      <c r="G5" s="63" t="inlineStr">
        <is>
          <t>Check giá trị mặc định của 終了日 khi mở Tab B 「未配送」 là hôm nay cộng 7 ngày.</t>
        </is>
      </c>
      <c r="H5" s="7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5" s="71" t="inlineStr">
        <is>
          <t>1. Mở màn 配送一覧 rồi chọn tab Tab B 「未配送」
2. Quan sát vùng chọn khoảng ngày (vùng 1.2)</t>
        </is>
      </c>
      <c r="J5" s="70" t="inlineStr">
        <is>
          <t>終了日 hiển thị 2026-10-15. Khoảng ngày hiển thị 2026-10-08 đến 2026-10-15.</t>
        </is>
      </c>
      <c r="K5" s="70" t="inlineStr">
        <is>
          <t>Hôm nay 2026-10-08</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TC-SHP-L2-005</t>
        </is>
      </c>
      <c r="C6" s="71" t="inlineStr">
        <is>
          <t>DA_LIST_002_ES / Date picker 開始日 / 終了日 hiển thị khoảng</t>
        </is>
      </c>
      <c r="D6" s="63" t="inlineStr">
        <is>
          <t>UI</t>
        </is>
      </c>
      <c r="E6" s="63" t="inlineStr">
        <is>
          <t>Low</t>
        </is>
      </c>
      <c r="F6" s="63" t="inlineStr">
        <is>
          <t>BD:DA_LIST_002_ES_ListES; AC-28</t>
        </is>
      </c>
      <c r="G6" s="63" t="inlineStr">
        <is>
          <t>[UNCONFIRMED] [UI Visual] Check định dạng hiển thị khoảng ngày trên Figma (một ô có icon lịch) so với Basic Design (hai date picker riêng).</t>
        </is>
      </c>
      <c r="H6" s="7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6" s="71" t="inlineStr">
        <is>
          <t>1. Mở màn 配送一覧
2. Đối chiếu ô khoảng ngày với Figma và Basic Design mục 1.1, 1.2</t>
        </is>
      </c>
      <c r="J6" s="70" t="inlineStr">
        <is>
          <t>Figma hiển thị một ô 「2026-6-12〜2026-6-19」 có icon lịch (ngày không đệm số 0 ở tháng và ngày). Basic Design mô tả hai date picker 開始日 và 終了日. Ghi nhận khác biệt định dạng để BA/FE xác nhận.</t>
        </is>
      </c>
      <c r="K6" s="70" t="inlineStr">
        <is>
          <t>-</t>
        </is>
      </c>
      <c r="L6" s="70" t="inlineStr">
        <is>
          <t>Low</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TC-SHP-L2-006</t>
        </is>
      </c>
      <c r="C7" s="71" t="inlineStr">
        <is>
          <t>DA_LIST_002_ES / Date picker 開始日 chọn ngày quá khứ</t>
        </is>
      </c>
      <c r="D7" s="63" t="inlineStr">
        <is>
          <t>Behavior</t>
        </is>
      </c>
      <c r="E7" s="63" t="inlineStr">
        <is>
          <t>Medium</t>
        </is>
      </c>
      <c r="F7" s="63" t="inlineStr">
        <is>
          <t>AC-28; RQ-C03</t>
        </is>
      </c>
      <c r="G7" s="63" t="inlineStr">
        <is>
          <t>Check chọn được 開始日 là ngày trong quá khứ và danh sách lọc lại theo khoảng mới.</t>
        </is>
      </c>
      <c r="H7" s="63"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7" s="71" t="inlineStr">
        <is>
          <t>1. Mở màn 配送一覧
2. Mở date picker 開始日
3. Chọn 2026-10-01</t>
        </is>
      </c>
      <c r="J7" s="70" t="inlineStr">
        <is>
          <t>開始日 hiển thị 2026-10-01, 終了日 giữ 2026-10-15, không hiện lỗi, danh sách tải lại theo khoảng 2026-10-01 đến 2026-10-15.</t>
        </is>
      </c>
      <c r="K7" s="70" t="inlineStr">
        <is>
          <t>開始日 2026-10-01</t>
        </is>
      </c>
      <c r="L7" s="70" t="inlineStr">
        <is>
          <t>Medium</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TC-SHP-L2-007</t>
        </is>
      </c>
      <c r="C8" s="71" t="inlineStr">
        <is>
          <t>DA_LIST_002_ES / Date picker 終了日 chọn ngày tương lai hợp lệ</t>
        </is>
      </c>
      <c r="D8" s="63" t="inlineStr">
        <is>
          <t>Behavior</t>
        </is>
      </c>
      <c r="E8" s="63" t="inlineStr">
        <is>
          <t>Medium</t>
        </is>
      </c>
      <c r="F8" s="63" t="inlineStr">
        <is>
          <t>AC-28; AC-29; RQ-C03</t>
        </is>
      </c>
      <c r="G8" s="63" t="inlineStr">
        <is>
          <t>Check chọn được 終了日 là ngày tương lai trong giới hạn 31 ngày và danh sách lọc lại.</t>
        </is>
      </c>
      <c r="H8" s="7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8" s="71" t="inlineStr">
        <is>
          <t>1. Mở màn 配送一覧
2. Mở date picker 終了日
3. Chọn 2026-10-20</t>
        </is>
      </c>
      <c r="J8" s="70" t="inlineStr">
        <is>
          <t>終了日 hiển thị 2026-10-20, không hiện lỗi, danh sách tải lại theo khoảng 2026-10-08 đến 2026-10-20.</t>
        </is>
      </c>
      <c r="K8" s="70" t="inlineStr">
        <is>
          <t>終了日 2026-10-20</t>
        </is>
      </c>
      <c r="L8" s="70" t="inlineStr">
        <is>
          <t>Medium</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TC-SHP-L2-008</t>
        </is>
      </c>
      <c r="C9" s="71" t="inlineStr">
        <is>
          <t>DA_LIST_002_ES / Date picker 終了日 trùng 開始日 (biên)</t>
        </is>
      </c>
      <c r="D9" s="63" t="inlineStr">
        <is>
          <t>Validate</t>
        </is>
      </c>
      <c r="E9" s="63" t="inlineStr">
        <is>
          <t>Medium</t>
        </is>
      </c>
      <c r="F9" s="63" t="inlineStr">
        <is>
          <t>AC-29; RQ-C04</t>
        </is>
      </c>
      <c r="G9" s="63" t="inlineStr">
        <is>
          <t>Check chọn 終了日 bằng đúng 開始日 được chấp nhận vì ràng buộc là 終了日 lớn hơn hoặc bằng 開始日.</t>
        </is>
      </c>
      <c r="H9" s="7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9" s="63" t="inlineStr">
        <is>
          <t>1. Mở màn 配送一覧
2. Mở date picker 終了日
3. Chọn 2026-10-08</t>
        </is>
      </c>
      <c r="J9" s="70" t="inlineStr">
        <is>
          <t>Không hiện thông báo lỗi. Khoảng ngày 2026-10-08 đến 2026-10-08, danh sách chỉ gồm bản ghi ngày 2026-10-08.</t>
        </is>
      </c>
      <c r="K9" s="70" t="inlineStr">
        <is>
          <t>開始日 2026-10-08, 終了日 2026-10-08</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TC-SHP-L2-009</t>
        </is>
      </c>
      <c r="C10" s="71" t="inlineStr">
        <is>
          <t>DA_LIST_002_ES / Date picker 終了日 sớm hơn 開始日 1 ngày</t>
        </is>
      </c>
      <c r="D10" s="63" t="inlineStr">
        <is>
          <t>Validate</t>
        </is>
      </c>
      <c r="E10" s="63" t="inlineStr">
        <is>
          <t>High</t>
        </is>
      </c>
      <c r="F10" s="63" t="inlineStr">
        <is>
          <t>AC-29; RQ-C04; E_DALIST002ES_001</t>
        </is>
      </c>
      <c r="G10" s="63" t="inlineStr">
        <is>
          <t>Check chọn 終了日 trước 開始日 một ngày thì hiện đúng thông báo lỗi ①.</t>
        </is>
      </c>
      <c r="H10" s="7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10" s="63" t="inlineStr">
        <is>
          <t>1. Mở màn 配送一覧
2. Mở date picker 終了日
3. Chọn 2026-10-07</t>
        </is>
      </c>
      <c r="J10" s="70" t="inlineStr">
        <is>
          <t>Hiện lỗi inline nguyên văn 「終了日は開始日以降を選択してください。」 (mã E_DALIST002ES_001). Người dùng vẫn ở màn 配送一覧.</t>
        </is>
      </c>
      <c r="K10" s="70" t="inlineStr">
        <is>
          <t>終了日 2026-10-07, 開始日 2026-10-08</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TC-SHP-L2-010</t>
        </is>
      </c>
      <c r="C11" s="71" t="inlineStr">
        <is>
          <t>DA_LIST_002_ES / Date picker 終了日 cách 開始日 đúng 31 ngày (biên)</t>
        </is>
      </c>
      <c r="D11" s="63" t="inlineStr">
        <is>
          <t>Validate</t>
        </is>
      </c>
      <c r="E11" s="63" t="inlineStr">
        <is>
          <t>High</t>
        </is>
      </c>
      <c r="F11" s="63" t="inlineStr">
        <is>
          <t>AC-29; RQ-C04</t>
        </is>
      </c>
      <c r="G11" s="63" t="inlineStr">
        <is>
          <t>Check chọn 終了日 cách 開始日 đúng 31 ngày vẫn được chấp nhận.</t>
        </is>
      </c>
      <c r="H11" s="7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11" s="63" t="inlineStr">
        <is>
          <t>1. Mở màn 配送一覧
2. Mở date picker 終了日
3. Chọn 2026-11-08 (開始日 2026-10-08 cộng 31 ngày)</t>
        </is>
      </c>
      <c r="J11" s="70" t="inlineStr">
        <is>
          <t>Không hiện thông báo lỗi. Danh sách tải lại theo khoảng 2026-10-08 đến 2026-11-08.</t>
        </is>
      </c>
      <c r="K11" s="70" t="inlineStr">
        <is>
          <t>終了日 2026-11-08（日）</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TC-SHP-L2-011</t>
        </is>
      </c>
      <c r="C12" s="71" t="inlineStr">
        <is>
          <t>DA_LIST_002_ES / Date picker 終了日 cách 開始日 32 ngày (biên)</t>
        </is>
      </c>
      <c r="D12" s="63" t="inlineStr">
        <is>
          <t>Validate</t>
        </is>
      </c>
      <c r="E12" s="63" t="inlineStr">
        <is>
          <t>High</t>
        </is>
      </c>
      <c r="F12" s="63" t="inlineStr">
        <is>
          <t>AC-29; RQ-C04; E_DALIST002ES_002</t>
        </is>
      </c>
      <c r="G12" s="63" t="inlineStr">
        <is>
          <t>Check chọn 終了日 cách 開始日 32 ngày thì hiện đúng thông báo lỗi ②.</t>
        </is>
      </c>
      <c r="H12" s="7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12" s="63" t="inlineStr">
        <is>
          <t>1. Mở màn 配送一覧
2. Mở date picker 終了日
3. Chọn 2026-11-09 (開始日 2026-10-08 cộng 32 ngày)</t>
        </is>
      </c>
      <c r="J12" s="70" t="inlineStr">
        <is>
          <t>Hiện lỗi inline nguyên văn 「期間は1ヶ月以内で選択してください。」 (mã E_DALIST002ES_002). Người dùng vẫn ở màn 配送一覧.</t>
        </is>
      </c>
      <c r="K12" s="70" t="inlineStr">
        <is>
          <t>終了日 2026-11-09（月）</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TC-SHP-L2-012</t>
        </is>
      </c>
      <c r="C13" s="71" t="inlineStr">
        <is>
          <t>DA_LIST_002_ES / Date picker 開始日 sau 終了日</t>
        </is>
      </c>
      <c r="D13" s="63" t="inlineStr">
        <is>
          <t>Validate</t>
        </is>
      </c>
      <c r="E13" s="63" t="inlineStr">
        <is>
          <t>Medium</t>
        </is>
      </c>
      <c r="F13" s="63" t="inlineStr">
        <is>
          <t>AC-29; RQ-C04; E_DALIST002ES_001</t>
        </is>
      </c>
      <c r="G13" s="63" t="inlineStr">
        <is>
          <t>[UNCONFIRMED] Check chọn 開始日 muộn hơn 終了日 hiện thông báo lỗi ① (Basic Design item 2 nêu lỗi này cho 開始日 nhưng SPEC chỉ ghi lỗi gắn với 終了日).</t>
        </is>
      </c>
      <c r="H13" s="7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13" s="63" t="inlineStr">
        <is>
          <t>1. Mở màn 配送一覧
2. Mở date picker 開始日
3. Chọn 2026-10-20 (muộn hơn 終了日 2026-10-15)</t>
        </is>
      </c>
      <c r="J13" s="70" t="inlineStr">
        <is>
          <t>Hiện lỗi 「終了日は開始日以降を選択してください。」. Vị trí hiển thị lỗi (dưới 開始日 hay 終了日) và việc giữ hay hoàn lại giá trị cần BA xác nhận.</t>
        </is>
      </c>
      <c r="K13" s="70" t="inlineStr">
        <is>
          <t>開始日 2026-10-20</t>
        </is>
      </c>
      <c r="L13" s="70" t="inlineStr">
        <is>
          <t>Medium</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TC-SHP-L2-013</t>
        </is>
      </c>
      <c r="C14" s="71" t="inlineStr">
        <is>
          <t>DA_LIST_002_ES / Date picker 開始日 làm khoảng vượt 31 ngày</t>
        </is>
      </c>
      <c r="D14" s="63" t="inlineStr">
        <is>
          <t>Validate</t>
        </is>
      </c>
      <c r="E14" s="63" t="inlineStr">
        <is>
          <t>Medium</t>
        </is>
      </c>
      <c r="F14" s="63" t="inlineStr">
        <is>
          <t>AC-29; RQ-C04; E_DALIST002ES_002</t>
        </is>
      </c>
      <c r="G14" s="63" t="inlineStr">
        <is>
          <t>[UNCONFIRMED] Check chọn 開始日 sớm khiến khoảng vượt 31 ngày thì hiện thông báo lỗi ②.</t>
        </is>
      </c>
      <c r="H14" s="7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14" s="63" t="inlineStr">
        <is>
          <t>1. Mở màn 配送一覧
2. Mở date picker 開始日
3. Chọn 2026-09-01 (cách 終了日 2026-10-15 là 44 ngày)</t>
        </is>
      </c>
      <c r="J14" s="70" t="inlineStr">
        <is>
          <t>Hiện lỗi 「期間は1ヶ月以内で選択してください。」. Vị trí hiển thị lỗi và giá trị sau lỗi cần BA xác nhận.</t>
        </is>
      </c>
      <c r="K14" s="70" t="inlineStr">
        <is>
          <t>開始日 2026-09-01</t>
        </is>
      </c>
      <c r="L14" s="70" t="inlineStr">
        <is>
          <t>Medium</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TC-SHP-L2-014</t>
        </is>
      </c>
      <c r="C15" s="71" t="inlineStr">
        <is>
          <t>DA_LIST_002_ES / Thông báo lỗi ngày — dạng hiển thị Inline</t>
        </is>
      </c>
      <c r="D15" s="63" t="inlineStr">
        <is>
          <t>UI</t>
        </is>
      </c>
      <c r="E15" s="63" t="inlineStr">
        <is>
          <t>Medium</t>
        </is>
      </c>
      <c r="F15" s="63" t="inlineStr">
        <is>
          <t>AC-29; E_DALIST002ES_001</t>
        </is>
      </c>
      <c r="G15" s="63" t="inlineStr">
        <is>
          <t>[UNCONFIRMED] Check thông báo lỗi ngày hiển thị dạng inline trên màn, không phải toast hay modal.</t>
        </is>
      </c>
      <c r="H15" s="7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15" s="63" t="inlineStr">
        <is>
          <t>1. Mở màn 配送一覧
2. Chọn 終了日 2026-10-07
3. Quan sát khu vực khoảng ngày</t>
        </is>
      </c>
      <c r="J15" s="70" t="inlineStr">
        <is>
          <t>Dòng lỗi 「終了日は開始日以降を選択してください。」 hiện inline gần khoảng ngày; không có toast, modal hay chuyển màn.</t>
        </is>
      </c>
      <c r="K15" s="70" t="inlineStr">
        <is>
          <t>終了日 2026-10-07</t>
        </is>
      </c>
      <c r="L15" s="70" t="inlineStr">
        <is>
          <t>Medium</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TC-SHP-L2-015</t>
        </is>
      </c>
      <c r="C16" s="71" t="inlineStr">
        <is>
          <t>DA_LIST_002_ES / Thông báo lỗi ngày — danh sách khi đang lỗi</t>
        </is>
      </c>
      <c r="D16" s="63" t="inlineStr">
        <is>
          <t>Behavior</t>
        </is>
      </c>
      <c r="E16" s="63" t="inlineStr">
        <is>
          <t>Medium</t>
        </is>
      </c>
      <c r="F16" s="63" t="inlineStr">
        <is>
          <t>AC-29; E_DALIST002ES_001</t>
        </is>
      </c>
      <c r="G16" s="63" t="inlineStr">
        <is>
          <t>[UNCONFIRMED] Check danh sách thẻ không bị lọc theo khoảng ngày không hợp lệ khi đang hiện lỗi.</t>
        </is>
      </c>
      <c r="H16" s="63"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16" s="63" t="inlineStr">
        <is>
          <t>1. Mở màn 配送一覧 và ghi lại số thẻ đang hiển thị
2. Chọn 終了日 2026-10-07
3. Quan sát danh sách thẻ</t>
        </is>
      </c>
      <c r="J16" s="70" t="inlineStr">
        <is>
          <t>Danh sách không tải theo khoảng không hợp lệ (giữ khoảng hợp lệ trước đó hoặc theo quyết định BA). Không có thẻ nào thuộc khoảng 2026-10-08 đến 2026-10-07.</t>
        </is>
      </c>
      <c r="K16" s="70" t="inlineStr">
        <is>
          <t>終了日 2026-10-07</t>
        </is>
      </c>
      <c r="L16" s="70" t="inlineStr">
        <is>
          <t>Medium</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TC-SHP-L2-016</t>
        </is>
      </c>
      <c r="C17" s="71" t="inlineStr">
        <is>
          <t>DA_LIST_002_ES / Thông báo lỗi ngày — tự mất khi sửa hợp lệ</t>
        </is>
      </c>
      <c r="D17" s="63" t="inlineStr">
        <is>
          <t>Behavior</t>
        </is>
      </c>
      <c r="E17" s="63" t="inlineStr">
        <is>
          <t>Medium</t>
        </is>
      </c>
      <c r="F17" s="63" t="inlineStr">
        <is>
          <t>AC-29; RQ-C04</t>
        </is>
      </c>
      <c r="G17" s="63" t="inlineStr">
        <is>
          <t>Check thông báo lỗi biến mất và danh sách tải lại khi người dùng sửa lại 終了日 hợp lệ.</t>
        </is>
      </c>
      <c r="H17" s="63"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17" s="63" t="inlineStr">
        <is>
          <t>1. Mở màn 配送一覧
2. Chọn 終了日 2026-10-07 để hiện lỗi
3. Chọn lại 終了日 2026-10-12</t>
        </is>
      </c>
      <c r="J17" s="70" t="inlineStr">
        <is>
          <t>Thông báo lỗi biến mất. Danh sách tải theo khoảng 2026-10-08 đến 2026-10-12.</t>
        </is>
      </c>
      <c r="K17" s="70" t="inlineStr">
        <is>
          <t>終了日 2026-10-07 rồi 2026-10-12</t>
        </is>
      </c>
      <c r="L17" s="70" t="inlineStr">
        <is>
          <t>Medium</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TC-SHP-L2-017</t>
        </is>
      </c>
      <c r="C18" s="71" t="inlineStr">
        <is>
          <t>DA_LIST_002_ES / Tab bar trạng thái đang chọn</t>
        </is>
      </c>
      <c r="D18" s="63" t="inlineStr">
        <is>
          <t>UI</t>
        </is>
      </c>
      <c r="E18" s="63" t="inlineStr">
        <is>
          <t>High</t>
        </is>
      </c>
      <c r="F18" s="63" t="inlineStr">
        <is>
          <t>AC-28; RQ-C06</t>
        </is>
      </c>
      <c r="G18" s="63" t="inlineStr">
        <is>
          <t>Check tab 「未配送」 ở trạng thái đang chọn khi vào màn.</t>
        </is>
      </c>
      <c r="H18" s="63"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18" s="63" t="inlineStr">
        <is>
          <t>1. Mở màn 配送一覧 rồi bấm tab 「未配送」</t>
        </is>
      </c>
      <c r="J18" s="70" t="inlineStr">
        <is>
          <t>Tab 「未配送」 ở trạng thái đang chọn (chữ xanh, gạch chân), hai tab còn lại không chọn.</t>
        </is>
      </c>
      <c r="K18" s="70" t="inlineStr">
        <is>
          <t>-</t>
        </is>
      </c>
      <c r="L18" s="70" t="inlineStr">
        <is>
          <t>High</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TC-SHP-L2-018</t>
        </is>
      </c>
      <c r="C19" s="71" t="inlineStr">
        <is>
          <t>DA_LIST_002_ES / Tab bar chuyển sang Tab A</t>
        </is>
      </c>
      <c r="D19" s="63" t="inlineStr">
        <is>
          <t>Navigation</t>
        </is>
      </c>
      <c r="E19" s="63" t="inlineStr">
        <is>
          <t>High</t>
        </is>
      </c>
      <c r="F19" s="63" t="inlineStr">
        <is>
          <t>AC-28</t>
        </is>
      </c>
      <c r="G19" s="63" t="inlineStr">
        <is>
          <t>Check bấm tab 「倉庫受取」 chuyển sang màn Tab A.</t>
        </is>
      </c>
      <c r="H19" s="7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19" s="63" t="inlineStr">
        <is>
          <t>1. Mở Tab B 「未配送」
2. Bấm tab 「倉庫受取」</t>
        </is>
      </c>
      <c r="J19" s="70" t="inlineStr">
        <is>
          <t>Hiển thị màn DA_LIST_001_Kho.</t>
        </is>
      </c>
      <c r="K19" s="70" t="inlineStr">
        <is>
          <t>-</t>
        </is>
      </c>
      <c r="L19" s="70" t="inlineStr">
        <is>
          <t>High</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TC-SHP-L2-019</t>
        </is>
      </c>
      <c r="C20" s="71" t="inlineStr">
        <is>
          <t>DA_LIST_002_ES / Tab bar chuyển sang Tab C</t>
        </is>
      </c>
      <c r="D20" s="63" t="inlineStr">
        <is>
          <t>Navigation</t>
        </is>
      </c>
      <c r="E20" s="63" t="inlineStr">
        <is>
          <t>High</t>
        </is>
      </c>
      <c r="F20" s="63" t="inlineStr">
        <is>
          <t>AC-28</t>
        </is>
      </c>
      <c r="G20" s="63" t="inlineStr">
        <is>
          <t>Check bấm tab 「配送完了」 chuyển sang màn Tab C.</t>
        </is>
      </c>
      <c r="H20" s="7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20" s="63" t="inlineStr">
        <is>
          <t>1. Mở Tab B 「未配送」
2. Bấm tab 「配送完了」</t>
        </is>
      </c>
      <c r="J20" s="70" t="inlineStr">
        <is>
          <t>Hiển thị màn DA_LIST_003_COOL.</t>
        </is>
      </c>
      <c r="K20" s="70" t="inlineStr">
        <is>
          <t>-</t>
        </is>
      </c>
      <c r="L20" s="70" t="inlineStr">
        <is>
          <t>High</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TC-SHP-L2-020</t>
        </is>
      </c>
      <c r="C21" s="71" t="inlineStr">
        <is>
          <t>DA_LIST_002_ES / Tab bar bấm lại tab đang chọn</t>
        </is>
      </c>
      <c r="D21" s="63" t="inlineStr">
        <is>
          <t>Navigation</t>
        </is>
      </c>
      <c r="E21" s="63" t="inlineStr">
        <is>
          <t>Low</t>
        </is>
      </c>
      <c r="F21" s="63" t="inlineStr">
        <is>
          <t>BD:DA_LIST_002_ES_ListES</t>
        </is>
      </c>
      <c r="G21" s="63" t="inlineStr">
        <is>
          <t>Check bấm lại tab đang chọn thì giữ nguyên màn.</t>
        </is>
      </c>
      <c r="H21" s="7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21" s="63" t="inlineStr">
        <is>
          <t>1. Mở Tab B 「未配送」
2. Bấm tab 「未配送」</t>
        </is>
      </c>
      <c r="J21" s="70" t="inlineStr">
        <is>
          <t>Giữ nguyên màn hiện tại, bộ lọc không bị xóa.</t>
        </is>
      </c>
      <c r="K21" s="70" t="inlineStr">
        <is>
          <t>-</t>
        </is>
      </c>
      <c r="L21" s="70" t="inlineStr">
        <is>
          <t>Low</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TC-SHP-L2-021</t>
        </is>
      </c>
      <c r="C22" s="71" t="inlineStr">
        <is>
          <t>DA_LIST_002_ES / Dropdown kho trung chuyển trạng thái mặc định</t>
        </is>
      </c>
      <c r="D22" s="63" t="inlineStr">
        <is>
          <t>UI</t>
        </is>
      </c>
      <c r="E22" s="63" t="inlineStr">
        <is>
          <t>Medium</t>
        </is>
      </c>
      <c r="F22" s="63" t="inlineStr">
        <is>
          <t>AC-30; RQ-C17</t>
        </is>
      </c>
      <c r="G22" s="63" t="inlineStr">
        <is>
          <t>Check dropdown kho và trung chuyển ở trạng thái chưa chọn, hiển thị tất cả thẻ.</t>
        </is>
      </c>
      <c r="H22" s="7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22" s="63" t="inlineStr">
        <is>
          <t>1. Mở Tab B 「未配送」
2. Quan sát nút lọc 「倉庫・中継」 và danh sách</t>
        </is>
      </c>
      <c r="J22" s="70" t="inlineStr">
        <is>
          <t>Nút lọc hiển thị nhãn 「倉庫・中継」 (chưa chọn). Danh sách gồm thẻ của mọi kho.</t>
        </is>
      </c>
      <c r="K22" s="70" t="inlineStr">
        <is>
          <t>-</t>
        </is>
      </c>
      <c r="L22" s="70" t="inlineStr">
        <is>
          <t>High</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TC-SHP-L2-022</t>
        </is>
      </c>
      <c r="C23" s="71" t="inlineStr">
        <is>
          <t>DA_LIST_002_ES / Dropdown kho trung chuyển danh sách lấy từ master</t>
        </is>
      </c>
      <c r="D23" s="63" t="inlineStr">
        <is>
          <t>Behavior</t>
        </is>
      </c>
      <c r="E23" s="63" t="inlineStr">
        <is>
          <t>Medium</t>
        </is>
      </c>
      <c r="F23" s="63" t="inlineStr">
        <is>
          <t>AC-30; RQ-C17</t>
        </is>
      </c>
      <c r="G23" s="71" t="inlineStr">
        <is>
          <t>Check danh sách lựa chọn trong dropdown lấy từ master kho và trung chuyển.</t>
        </is>
      </c>
      <c r="H23" s="7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23" s="71" t="inlineStr">
        <is>
          <t>1. Mở Tab B 「未配送」
2. Bấm nút lọc 「倉庫・中継」</t>
        </is>
      </c>
      <c r="J23" s="70" t="inlineStr">
        <is>
          <t>Hiển thị danh sách kho và trung chuyển khớp master (ví dụ 「オージーフーズ倉庫」 và 「QC_中継センター東京」), có thể chọn nhiều mục.</t>
        </is>
      </c>
      <c r="K23" s="70" t="inlineStr">
        <is>
          <t>オージーフーズ倉庫, QC_中継センター東京</t>
        </is>
      </c>
      <c r="L23" s="70" t="inlineStr">
        <is>
          <t>Medium</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TC-SHP-L2-023</t>
        </is>
      </c>
      <c r="C24" s="71" t="inlineStr">
        <is>
          <t>DA_LIST_002_ES / Dropdown kho trung chuyển chọn một mục</t>
        </is>
      </c>
      <c r="D24" s="71" t="inlineStr">
        <is>
          <t>Behavior</t>
        </is>
      </c>
      <c r="E24" s="71" t="inlineStr">
        <is>
          <t>High</t>
        </is>
      </c>
      <c r="F24" s="71" t="inlineStr">
        <is>
          <t>AC-30; RQ-C17</t>
        </is>
      </c>
      <c r="G24" s="71" t="inlineStr">
        <is>
          <t>Check chọn một kho thì danh sách chỉ còn thẻ đi qua kho đó.</t>
        </is>
      </c>
      <c r="H24" s="7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24" s="71" t="inlineStr">
        <is>
          <t>1. Mở Tab B 「未配送」
2. Bấm 「倉庫・中継」
3. Chọn 「オージーフーズ倉庫」</t>
        </is>
      </c>
      <c r="J24" s="70" t="inlineStr">
        <is>
          <t>Danh sách chỉ gồm thẻ có tên kho 「オージーフーズ倉庫」.</t>
        </is>
      </c>
      <c r="K24" s="70" t="inlineStr">
        <is>
          <t>オージーフーズ倉庫</t>
        </is>
      </c>
      <c r="L24" s="70" t="inlineStr">
        <is>
          <t>High</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TC-SHP-L2-024</t>
        </is>
      </c>
      <c r="C25" s="71" t="inlineStr">
        <is>
          <t>DA_LIST_002_ES / Dropdown kho trung chuyển chọn nhiều mục</t>
        </is>
      </c>
      <c r="D25" s="71" t="inlineStr">
        <is>
          <t>Behavior</t>
        </is>
      </c>
      <c r="E25" s="71" t="inlineStr">
        <is>
          <t>High</t>
        </is>
      </c>
      <c r="F25" s="71" t="inlineStr">
        <is>
          <t>AC-30; RQ-C17</t>
        </is>
      </c>
      <c r="G25" s="71" t="inlineStr">
        <is>
          <t>Check chọn nhiều kho cùng lúc thì danh sách gồm thẻ của tất cả kho đã chọn.</t>
        </is>
      </c>
      <c r="H25" s="7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25" s="71" t="inlineStr">
        <is>
          <t>1. Mở Tab B 「未配送」
2. Bấm 「倉庫・中継」
3. Chọn 「オージーフーズ倉庫」 và 「QC_中継センター東京」</t>
        </is>
      </c>
      <c r="J25" s="70" t="inlineStr">
        <is>
          <t>Danh sách gồm thẻ của cả hai kho, không có thẻ của kho khác. Cả hai mục đều ở trạng thái đã chọn.</t>
        </is>
      </c>
      <c r="K25" s="70" t="inlineStr">
        <is>
          <t>オージーフーズ倉庫, QC_中継センター東京</t>
        </is>
      </c>
      <c r="L25" s="70" t="inlineStr">
        <is>
          <t>High</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TC-SHP-L2-025</t>
        </is>
      </c>
      <c r="C26" s="70" t="inlineStr">
        <is>
          <t>DA_LIST_002_ES / Dropdown kho trung chuyển bỏ chọn</t>
        </is>
      </c>
      <c r="D26" s="70" t="inlineStr">
        <is>
          <t>Behavior</t>
        </is>
      </c>
      <c r="E26" s="70" t="inlineStr">
        <is>
          <t>Medium</t>
        </is>
      </c>
      <c r="F26" s="70" t="inlineStr">
        <is>
          <t>AC-30; RQ-C17</t>
        </is>
      </c>
      <c r="G26" s="70" t="inlineStr">
        <is>
          <t>Check bỏ toàn bộ lựa chọn thì danh sách hiển thị lại tất cả.</t>
        </is>
      </c>
      <c r="H26"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26" s="70" t="inlineStr">
        <is>
          <t>1. Mở Tab B 「未配送」, chọn 「オージーフーズ倉庫」
2. Bỏ chọn 「オージーフーズ倉庫」</t>
        </is>
      </c>
      <c r="J26" s="70" t="inlineStr">
        <is>
          <t>Danh sách hiển thị lại thẻ của mọi kho, nút lọc về 「倉庫・中継」.</t>
        </is>
      </c>
      <c r="K26" s="70" t="inlineStr">
        <is>
          <t>オージーフーズ倉庫</t>
        </is>
      </c>
      <c r="L26" s="70" t="inlineStr">
        <is>
          <t>Medium</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TC-SHP-L2-026</t>
        </is>
      </c>
      <c r="C27" s="70" t="inlineStr">
        <is>
          <t>DA_LIST_002_ES / Ô tìm kiếm trạng thái ban đầu</t>
        </is>
      </c>
      <c r="D27" s="70" t="inlineStr">
        <is>
          <t>UI</t>
        </is>
      </c>
      <c r="E27" s="70" t="inlineStr">
        <is>
          <t>Medium</t>
        </is>
      </c>
      <c r="F27" s="70" t="inlineStr">
        <is>
          <t>AC-31; RQ-C18</t>
        </is>
      </c>
      <c r="G27" s="70" t="inlineStr">
        <is>
          <t>Check ô tìm kiếm để trống và hiện placeholder cùng icon kính lúp.</t>
        </is>
      </c>
      <c r="H27"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27" s="70" t="inlineStr">
        <is>
          <t>1. Mở Tab B 「未配送」
2. Quan sát ô tìm kiếm</t>
        </is>
      </c>
      <c r="J27" s="70" t="inlineStr">
        <is>
          <t>Ô trống, placeholder 「納品先拠点名・住所」, icon kính lúp bên phải.</t>
        </is>
      </c>
      <c r="K27" s="70" t="inlineStr">
        <is>
          <t>-</t>
        </is>
      </c>
      <c r="L27" s="70" t="inlineStr">
        <is>
          <t>Medium</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TC-SHP-L2-027</t>
        </is>
      </c>
      <c r="C28" s="70" t="inlineStr">
        <is>
          <t>DA_LIST_002_ES / Ô tìm kiếm chỉ chạy khi bấm Enter</t>
        </is>
      </c>
      <c r="D28" s="70" t="inlineStr">
        <is>
          <t>Behavior</t>
        </is>
      </c>
      <c r="E28" s="70" t="inlineStr">
        <is>
          <t>High</t>
        </is>
      </c>
      <c r="F28" s="70" t="inlineStr">
        <is>
          <t>AC-31; RQ-C18</t>
        </is>
      </c>
      <c r="G28" s="75" t="inlineStr">
        <is>
          <t>Check gõ chữ vào ô tìm kiếm chưa lọc danh sách cho đến khi bấm Enter.</t>
        </is>
      </c>
      <c r="H28"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28" s="70" t="inlineStr">
        <is>
          <t>1. Mở Tab B 「未配送」 và ghi lại số thẻ
2. Gõ 「大和インター」 vào ô tìm kiếm, chưa bấm Enter
3. Quan sát danh sách
4. Bấm Enter trên bàn phím ảo</t>
        </is>
      </c>
      <c r="J28" s="70" t="inlineStr">
        <is>
          <t>Trước khi bấm Enter danh sách giữ nguyên. Sau Enter danh sách chỉ còn thẻ có điểm giao hoặc địa chỉ chứa 「大和インター」.</t>
        </is>
      </c>
      <c r="K28" s="70" t="inlineStr">
        <is>
          <t>大和インター</t>
        </is>
      </c>
      <c r="L28" s="70" t="inlineStr">
        <is>
          <t>High</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TC-SHP-L2-028</t>
        </is>
      </c>
      <c r="C29" s="70" t="inlineStr">
        <is>
          <t>DA_LIST_002_ES / Ô tìm kiếm khớp 納品先拠点名</t>
        </is>
      </c>
      <c r="D29" s="70" t="inlineStr">
        <is>
          <t>Behavior</t>
        </is>
      </c>
      <c r="E29" s="70" t="inlineStr">
        <is>
          <t>High</t>
        </is>
      </c>
      <c r="F29" s="70" t="inlineStr">
        <is>
          <t>AC-31; RQ-C18</t>
        </is>
      </c>
      <c r="G29" s="75" t="inlineStr">
        <is>
          <t>Check tìm kiếm theo tên điểm giao sau khi bấm Enter.</t>
        </is>
      </c>
      <c r="H29"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29" s="75" t="inlineStr">
        <is>
          <t>1. Mở Tab B 「未配送」
2. Gõ 「大和インターナショナル」
3. Bấm Enter</t>
        </is>
      </c>
      <c r="J29" s="70" t="inlineStr">
        <is>
          <t>Danh sách chỉ còn thẻ có 納品先拠点名 chứa chuỗi vừa gõ.</t>
        </is>
      </c>
      <c r="K29" s="70" t="inlineStr">
        <is>
          <t>大和インターナショナル</t>
        </is>
      </c>
      <c r="L29" s="70" t="inlineStr">
        <is>
          <t>High</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TC-SHP-L2-029</t>
        </is>
      </c>
      <c r="C30" s="70" t="inlineStr">
        <is>
          <t>DA_LIST_002_ES / Ô tìm kiếm khớp 住所</t>
        </is>
      </c>
      <c r="D30" s="70" t="inlineStr">
        <is>
          <t>Behavior</t>
        </is>
      </c>
      <c r="E30" s="70" t="inlineStr">
        <is>
          <t>High</t>
        </is>
      </c>
      <c r="F30" s="70" t="inlineStr">
        <is>
          <t>AC-31; RQ-C18</t>
        </is>
      </c>
      <c r="G30" s="75" t="inlineStr">
        <is>
          <t>Check tìm kiếm theo địa chỉ sau khi bấm Enter.</t>
        </is>
      </c>
      <c r="H30"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30" s="75" t="inlineStr">
        <is>
          <t>1. Mở Tab B 「未配送」
2. Gõ 「渋谷区1-2-3」
3. Bấm Enter</t>
        </is>
      </c>
      <c r="J30" s="75" t="inlineStr">
        <is>
          <t>Danh sách chỉ còn thẻ có địa chỉ chứa 「渋谷区1-2-3」 (địa chỉ gồm tên tòa nhà・tầng・công ty・phòng ban).</t>
        </is>
      </c>
      <c r="K30" s="75" t="inlineStr">
        <is>
          <t>東京都渋谷区1-2-3</t>
        </is>
      </c>
      <c r="L30" s="75" t="inlineStr">
        <is>
          <t>High</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TC-SHP-L2-030</t>
        </is>
      </c>
      <c r="C31" s="74" t="inlineStr">
        <is>
          <t>DA_LIST_002_ES / Ô tìm kiếm xóa chữ hiện lại toàn bộ</t>
        </is>
      </c>
      <c r="D31" s="70" t="inlineStr">
        <is>
          <t>Behavior</t>
        </is>
      </c>
      <c r="E31" s="70" t="inlineStr">
        <is>
          <t>High</t>
        </is>
      </c>
      <c r="F31" s="70" t="inlineStr">
        <is>
          <t>AC-31; RQ-C18</t>
        </is>
      </c>
      <c r="G31" s="70" t="inlineStr">
        <is>
          <t>Check xóa nội dung ô tìm kiếm thì danh sách hiện lại toàn bộ.</t>
        </is>
      </c>
      <c r="H31"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31" s="70" t="inlineStr">
        <is>
          <t>1. Mở Tab B 「未配送」, gõ 「大和」 rồi bấm Enter
2. Xóa toàn bộ chữ trong ô tìm kiếm</t>
        </is>
      </c>
      <c r="J31" s="70" t="inlineStr">
        <is>
          <t>Danh sách hiển thị lại toàn bộ thẻ trong khoảng ngày hiện tại. Ghi nhận có cần bấm Enter sau khi xóa hay không (tài liệu ghi xóa input thì hiện lại).</t>
        </is>
      </c>
      <c r="K31" s="70" t="inlineStr">
        <is>
          <t>大和</t>
        </is>
      </c>
      <c r="L31" s="70" t="inlineStr">
        <is>
          <t>High</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TC-SHP-L2-031</t>
        </is>
      </c>
      <c r="C32" s="74" t="inlineStr">
        <is>
          <t>DA_LIST_002_ES / Ô tìm kiếm không có kết quả</t>
        </is>
      </c>
      <c r="D32" s="70" t="inlineStr">
        <is>
          <t>Behavior</t>
        </is>
      </c>
      <c r="E32" s="70" t="inlineStr">
        <is>
          <t>Medium</t>
        </is>
      </c>
      <c r="F32" s="70" t="inlineStr">
        <is>
          <t>AC-31; RQ-C25; OQ-06</t>
        </is>
      </c>
      <c r="G32" s="70" t="inlineStr">
        <is>
          <t>[UNCONFIRMED] Check hiển thị khi từ khoá tìm kiếm không khớp thẻ nào.</t>
        </is>
      </c>
      <c r="H32"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32" s="70" t="inlineStr">
        <is>
          <t>1. Mở Tab B 「未配送」
2. Gõ 「QC_該当なし999」
3. Bấm Enter</t>
        </is>
      </c>
      <c r="J32" s="70" t="inlineStr">
        <is>
          <t>Không có thẻ nào. Cần BA xác nhận có hiện empty state 「配送予定データはありません。」 hay vùng trống.</t>
        </is>
      </c>
      <c r="K32" s="70" t="inlineStr">
        <is>
          <t>QC_該当なし999</t>
        </is>
      </c>
      <c r="L32" s="70" t="inlineStr">
        <is>
          <t>Medium</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TC-SHP-L2-032</t>
        </is>
      </c>
      <c r="C33" s="74" t="inlineStr">
        <is>
          <t>DA_LIST_002_ES / Ô tìm kiếm 255 ký tự (biên)</t>
        </is>
      </c>
      <c r="D33" s="70" t="inlineStr">
        <is>
          <t>Validate</t>
        </is>
      </c>
      <c r="E33" s="70" t="inlineStr">
        <is>
          <t>High</t>
        </is>
      </c>
      <c r="F33" s="70" t="inlineStr">
        <is>
          <t>AC-31; RQ-C18</t>
        </is>
      </c>
      <c r="G33" s="75" t="inlineStr">
        <is>
          <t>Check nhập đúng 255 ký tự vào ô tìm kiếm được chấp nhận.</t>
        </is>
      </c>
      <c r="H33"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33" s="75" t="inlineStr">
        <is>
          <t>1. Mở Tab B 「未配送」
2. Dán chuỗi 255 ký tự `a`
3. Bấm Enter</t>
        </is>
      </c>
      <c r="J33" s="70" t="inlineStr">
        <is>
          <t>Ô giữ đủ 255 ký tự, không có thông báo lỗi, tìm kiếm chạy bình thường (không có kết quả).</t>
        </is>
      </c>
      <c r="K33" s="70" t="inlineStr">
        <is>
          <t>255 ký tự a</t>
        </is>
      </c>
      <c r="L33" s="70" t="inlineStr">
        <is>
          <t>High</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TC-SHP-L2-033</t>
        </is>
      </c>
      <c r="C34" s="74" t="inlineStr">
        <is>
          <t>DA_LIST_002_ES / Ô tìm kiếm 256 ký tự (biên)</t>
        </is>
      </c>
      <c r="D34" s="70" t="inlineStr">
        <is>
          <t>Validate</t>
        </is>
      </c>
      <c r="E34" s="70" t="inlineStr">
        <is>
          <t>High</t>
        </is>
      </c>
      <c r="F34" s="70" t="inlineStr">
        <is>
          <t>AC-31; RQ-C18</t>
        </is>
      </c>
      <c r="G34" s="75" t="inlineStr">
        <is>
          <t>Check nhập 256 ký tự thì ô chặn ở 255 ký tự và không hiện thông báo lỗi.</t>
        </is>
      </c>
      <c r="H34"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34" s="75" t="inlineStr">
        <is>
          <t>1. Mở Tab B 「未配送」
2. Dán chuỗi 256 ký tự `a`
3. Đếm số ký tự còn lại trong ô</t>
        </is>
      </c>
      <c r="J34" s="70" t="inlineStr">
        <is>
          <t>Ô chỉ giữ 255 ký tự, ký tự thứ 256 bị chặn, không có thông báo lỗi.</t>
        </is>
      </c>
      <c r="K34" s="70" t="inlineStr">
        <is>
          <t>256 ký tự a</t>
        </is>
      </c>
      <c r="L34" s="70" t="inlineStr">
        <is>
          <t>High</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TC-SHP-L2-034</t>
        </is>
      </c>
      <c r="C35" s="70" t="inlineStr">
        <is>
          <t>DA_LIST_002_ES / Ô tìm kiếm gõ thêm khi đã đủ 255 ký tự</t>
        </is>
      </c>
      <c r="D35" s="70" t="inlineStr">
        <is>
          <t>Validate</t>
        </is>
      </c>
      <c r="E35" s="70" t="inlineStr">
        <is>
          <t>Medium</t>
        </is>
      </c>
      <c r="F35" s="70" t="inlineStr">
        <is>
          <t>AC-31; RQ-C18</t>
        </is>
      </c>
      <c r="G35" s="75" t="inlineStr">
        <is>
          <t>Check gõ thêm một ký tự khi ô đã đủ 255 ký tự thì ký tự không được nhận.</t>
        </is>
      </c>
      <c r="H35"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35" s="75" t="inlineStr">
        <is>
          <t>1. Mở Tab B 「未配送」
2. Dán chuỗi 255 ký tự `a`
3. Gõ thêm ký tự 「あ」</t>
        </is>
      </c>
      <c r="J35" s="75" t="inlineStr">
        <is>
          <t>Nội dung ô vẫn là 255 ký tự `a`, ký tự 「あ」 không xuất hiện, không có thông báo lỗi.</t>
        </is>
      </c>
      <c r="K35" s="75" t="inlineStr">
        <is>
          <t>255 ký tự a + あ</t>
        </is>
      </c>
      <c r="L35" s="75" t="inlineStr">
        <is>
          <t>Medium</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TC-SHP-L2-035</t>
        </is>
      </c>
      <c r="C36" s="70" t="inlineStr">
        <is>
          <t>DA_LIST_002_ES / Ô tìm kiếm bảo mật XSS</t>
        </is>
      </c>
      <c r="D36" s="70" t="inlineStr">
        <is>
          <t>Security</t>
        </is>
      </c>
      <c r="E36" s="70" t="inlineStr">
        <is>
          <t>High</t>
        </is>
      </c>
      <c r="F36" s="70" t="inlineStr">
        <is>
          <t>AC-31</t>
        </is>
      </c>
      <c r="G36" s="75" t="inlineStr">
        <is>
          <t>Check nhập chuỗi script vào ô tìm kiếm thì không thực thi script.</t>
        </is>
      </c>
      <c r="H36" s="75"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36" s="75" t="inlineStr">
        <is>
          <t>1. Mở Tab B 「未配送」
2. Gõ `&lt;script&gt;alert(1)&lt;/script&gt;`
3. Bấm Enter</t>
        </is>
      </c>
      <c r="J36" s="75" t="inlineStr">
        <is>
          <t>Không hiện alert, chuỗi được xử lý như văn bản thường, màn không lỗi.</t>
        </is>
      </c>
      <c r="K36" s="75" t="inlineStr">
        <is>
          <t>&lt;script&gt;alert(1)&lt;/script&gt;</t>
        </is>
      </c>
      <c r="L36" s="75" t="inlineStr">
        <is>
          <t>Medium</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TC-SHP-L2-036</t>
        </is>
      </c>
      <c r="C37" s="70" t="inlineStr">
        <is>
          <t>DA_LIST_002_ES / Ô tìm kiếm bảo mật SQL injection</t>
        </is>
      </c>
      <c r="D37" s="70" t="inlineStr">
        <is>
          <t>Security</t>
        </is>
      </c>
      <c r="E37" s="70" t="inlineStr">
        <is>
          <t>Medium</t>
        </is>
      </c>
      <c r="F37" s="70" t="inlineStr">
        <is>
          <t>AC-31</t>
        </is>
      </c>
      <c r="G37" s="75" t="inlineStr">
        <is>
          <t>Check nhập chuỗi SQL injection thì xử lý như văn bản thường.</t>
        </is>
      </c>
      <c r="H37" s="75"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37" s="75" t="inlineStr">
        <is>
          <t>1. Mở Tab B 「未配送」
2. Gõ `' OR '1'='1`
3. Bấm Enter</t>
        </is>
      </c>
      <c r="J37" s="75" t="inlineStr">
        <is>
          <t>Không trả về toàn bộ dữ liệu do injection, không có lỗi server.</t>
        </is>
      </c>
      <c r="K37" s="75" t="inlineStr">
        <is>
          <t>' OR '1'='1</t>
        </is>
      </c>
      <c r="L37" s="75" t="inlineStr">
        <is>
          <t>Medium</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TC-SHP-L2-037</t>
        </is>
      </c>
      <c r="C38" s="70" t="inlineStr">
        <is>
          <t>DA_LIST_002_ES / Ô tìm kiếm emoji và kana</t>
        </is>
      </c>
      <c r="D38" s="70" t="inlineStr">
        <is>
          <t>Validate</t>
        </is>
      </c>
      <c r="E38" s="70" t="inlineStr">
        <is>
          <t>Low</t>
        </is>
      </c>
      <c r="F38" s="70" t="inlineStr">
        <is>
          <t>AC-31</t>
        </is>
      </c>
      <c r="G38" s="75" t="inlineStr">
        <is>
          <t>[UNCONFIRMED] Check ô tìm kiếm nhập được emoji và kana nửa chiều mà không làm lỗi màn.</t>
        </is>
      </c>
      <c r="H38"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38" s="75" t="inlineStr">
        <is>
          <t>1. Mở Tab B 「未配送」
2. Gõ `😀` rồi bấm Enter
3. Xóa, gõ `ﾔﾏﾄ` rồi bấm Enter</t>
        </is>
      </c>
      <c r="J38" s="75" t="inlineStr">
        <is>
          <t>Màn không lỗi. Kết quả với kana nửa chiều theo quy tắc khớp của hệ thống.</t>
        </is>
      </c>
      <c r="K38" s="75" t="inlineStr">
        <is>
          <t>😀, ﾔﾏﾄ</t>
        </is>
      </c>
      <c r="L38" s="75" t="inlineStr">
        <is>
          <t>Low</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TC-SHP-L2-038</t>
        </is>
      </c>
      <c r="C39" s="70" t="inlineStr">
        <is>
          <t>DA_LIST_002_ES / Ô tìm kiếm khoảng trắng đầu cuối</t>
        </is>
      </c>
      <c r="D39" s="70" t="inlineStr">
        <is>
          <t>Validate</t>
        </is>
      </c>
      <c r="E39" s="70" t="inlineStr">
        <is>
          <t>Low</t>
        </is>
      </c>
      <c r="F39" s="70" t="inlineStr">
        <is>
          <t>AC-31</t>
        </is>
      </c>
      <c r="G39" s="75" t="inlineStr">
        <is>
          <t>[UNCONFIRMED] Check ô tìm kiếm với từ khoá có khoảng trắng đầu và cuối.</t>
        </is>
      </c>
      <c r="H39"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39" s="75" t="inlineStr">
        <is>
          <t>1. Mở Tab B 「未配送」
2. Gõ `  大和  `
3. Bấm Enter</t>
        </is>
      </c>
      <c r="J39" s="75" t="inlineStr">
        <is>
          <t>Ghi nhận danh sách có cắt khoảng trắng hay không. Tài liệu chưa nêu quy tắc.</t>
        </is>
      </c>
      <c r="K39" s="75" t="inlineStr">
        <is>
          <t>大和</t>
        </is>
      </c>
      <c r="L39" s="75" t="inlineStr">
        <is>
          <t>Low</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TC-SHP-L2-039</t>
        </is>
      </c>
      <c r="C40" s="74" t="inlineStr">
        <is>
          <t>DA_LIST_002_ES / Ô tìm kiếm kết hợp dropdown kho</t>
        </is>
      </c>
      <c r="D40" s="70" t="inlineStr">
        <is>
          <t>Logic</t>
        </is>
      </c>
      <c r="E40" s="70" t="inlineStr">
        <is>
          <t>Medium</t>
        </is>
      </c>
      <c r="F40" s="70" t="inlineStr">
        <is>
          <t>AC-30; AC-31</t>
        </is>
      </c>
      <c r="G40" s="75" t="inlineStr">
        <is>
          <t>Check tìm kiếm và dropdown kho áp dụng đồng thời theo điều kiện AND.</t>
        </is>
      </c>
      <c r="H40"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40" s="70" t="inlineStr">
        <is>
          <t>1. Mở Tab B 「未配送」
2. Chọn 「オージーフーズ倉庫」
3. Gõ 「大和」 rồi bấm Enter</t>
        </is>
      </c>
      <c r="J40" s="75" t="inlineStr">
        <is>
          <t>Danh sách chỉ gồm thẻ vừa đi qua kho 「オージーフーズ倉庫」 vừa có điểm giao hoặc địa chỉ chứa 「大和」.</t>
        </is>
      </c>
      <c r="K40" s="75" t="inlineStr">
        <is>
          <t>オージーフーズ倉庫 + 大和</t>
        </is>
      </c>
      <c r="L40" s="75" t="inlineStr">
        <is>
          <t>Medium</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TC-SHP-L2-040</t>
        </is>
      </c>
      <c r="C41" s="74" t="inlineStr">
        <is>
          <t>DA_LIST_002_ES / Thẻ tên điểm giao dài xuống dòng đủ</t>
        </is>
      </c>
      <c r="D41" s="70" t="inlineStr">
        <is>
          <t>UI</t>
        </is>
      </c>
      <c r="E41" s="70" t="inlineStr">
        <is>
          <t>High</t>
        </is>
      </c>
      <c r="F41" s="70" t="inlineStr">
        <is>
          <t>AC-32; RQ-C19</t>
        </is>
      </c>
      <c r="G41" s="70" t="inlineStr">
        <is>
          <t>Check tên điểm giao dài xuống dòng hiển thị toàn bộ, không rút gọn.</t>
        </is>
      </c>
      <c r="H41"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41" s="70" t="inlineStr">
        <is>
          <t>1. Mở Tab B 「未配送」
2. Tìm thẻ 「富士フィナンシャルアドバイザリー株式会社」
3. Quan sát tên điểm giao</t>
        </is>
      </c>
      <c r="J41" s="70" t="inlineStr">
        <is>
          <t>Tên hiển thị đầy đủ qua nhiều dòng, không có 「…」.</t>
        </is>
      </c>
      <c r="K41" s="70" t="inlineStr">
        <is>
          <t>富士フィナンシャルアドバイザリー株式会社</t>
        </is>
      </c>
      <c r="L41" s="70" t="inlineStr">
        <is>
          <t>High</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TC-SHP-L2-041</t>
        </is>
      </c>
      <c r="C42" s="74" t="inlineStr">
        <is>
          <t>DA_LIST_002_ES / Thẻ địa chỉ hiển thị đầy đủ</t>
        </is>
      </c>
      <c r="D42" s="70" t="inlineStr">
        <is>
          <t>UI</t>
        </is>
      </c>
      <c r="E42" s="70" t="inlineStr">
        <is>
          <t>High</t>
        </is>
      </c>
      <c r="F42" s="70" t="inlineStr">
        <is>
          <t>AC-32; RQ-C20</t>
        </is>
      </c>
      <c r="G42" s="75" t="inlineStr">
        <is>
          <t>Check địa chỉ hiển thị đầy đủ gồm tên tòa nhà, tầng, tên công ty và phòng ban.</t>
        </is>
      </c>
      <c r="H42"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42" s="70" t="inlineStr">
        <is>
          <t>1. Mở Tab B 「未配送」
2. Quan sát địa chỉ của thẻ có địa chỉ dài (東京都中央区八重洲二丁目８番７号 東京ミッドタウン八重洲八重洲セントラルタワー２３階 株式会社大和インターナショナルトレーディング 東京本社ビジネスソリューション事業部)</t>
        </is>
      </c>
      <c r="J42" s="70" t="inlineStr">
        <is>
          <t>Toàn bộ địa chỉ hiển thị nhiều dòng, không bị rút gọn bằng 「…」.</t>
        </is>
      </c>
      <c r="K42" s="70" t="inlineStr">
        <is>
          <t>東京都中央区八重洲二丁目８番７号 ... ビジネスソリューション事業部</t>
        </is>
      </c>
      <c r="L42" s="70" t="inlineStr">
        <is>
          <t>High</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inlineStr">
        <is>
          <t>TC-SHP-L2-042</t>
        </is>
      </c>
      <c r="C43" s="74" t="inlineStr">
        <is>
          <t>DA_LIST_002_ES / Thẻ ngày giao định dạng</t>
        </is>
      </c>
      <c r="D43" s="70" t="inlineStr">
        <is>
          <t>UI</t>
        </is>
      </c>
      <c r="E43" s="70" t="inlineStr">
        <is>
          <t>High</t>
        </is>
      </c>
      <c r="F43" s="70" t="inlineStr">
        <is>
          <t>AC-37; RQ-C12</t>
        </is>
      </c>
      <c r="G43" s="75" t="inlineStr">
        <is>
          <t>Check ngày giao hiển thị theo định dạng yyyy-mm-dd（thứ）.</t>
        </is>
      </c>
      <c r="H43"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43" s="75" t="inlineStr">
        <is>
          <t>1. Mở Tab B 「未配送」
2. Quan sát dòng ngày của thẻ giao 2026-10-08</t>
        </is>
      </c>
      <c r="J43" s="70" t="inlineStr">
        <is>
          <t>Hiển thị 「2026-10-08（木）」 có icon lịch bên trái.</t>
        </is>
      </c>
      <c r="K43" s="70" t="inlineStr">
        <is>
          <t>2026-10-08（木）</t>
        </is>
      </c>
      <c r="L43" s="70" t="inlineStr">
        <is>
          <t>High</t>
        </is>
      </c>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inlineStr">
        <is>
          <t>TC-SHP-L2-043</t>
        </is>
      </c>
      <c r="C44" s="74" t="inlineStr">
        <is>
          <t>DA_LIST_002_ES / Thẻ thứ tính tự động từ ngày</t>
        </is>
      </c>
      <c r="D44" s="70" t="inlineStr">
        <is>
          <t>Logic</t>
        </is>
      </c>
      <c r="E44" s="70" t="inlineStr">
        <is>
          <t>Medium</t>
        </is>
      </c>
      <c r="F44" s="70" t="inlineStr">
        <is>
          <t>AC-37; RQ-C12</t>
        </is>
      </c>
      <c r="G44" s="75" t="inlineStr">
        <is>
          <t>Check thứ trong ngoặc được tính đúng theo lịch với ngày 2026-10-09 và 2026-10-12.</t>
        </is>
      </c>
      <c r="H44"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44" s="75" t="inlineStr">
        <is>
          <t>1. Mở Tab B 「未配送」 với khoảng 2026-10-08 đến 2026-10-15
2. Quan sát ngày thẻ 2026-10-09 và 2026-10-12</t>
        </is>
      </c>
      <c r="J44" s="75" t="inlineStr">
        <is>
          <t>Hiển thị 「2026-10-09（金）」 và 「2026-10-12（月）」.</t>
        </is>
      </c>
      <c r="K44" s="75" t="inlineStr">
        <is>
          <t>2026-10-09, 2026-10-12</t>
        </is>
      </c>
      <c r="L44" s="75" t="inlineStr">
        <is>
          <t>Medium</t>
        </is>
      </c>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inlineStr">
        <is>
          <t>TC-SHP-L2-044</t>
        </is>
      </c>
      <c r="C45" s="76" t="inlineStr">
        <is>
          <t>DA_LIST_002_ES / Thẻ icon loại giao ES配送便 và COOL便</t>
        </is>
      </c>
      <c r="D45" s="70" t="inlineStr">
        <is>
          <t>UI</t>
        </is>
      </c>
      <c r="E45" s="70" t="inlineStr">
        <is>
          <t>Medium</t>
        </is>
      </c>
      <c r="F45" s="70" t="inlineStr">
        <is>
          <t>RQ-C17; BD:DA_LIST_002_ES_ListES</t>
        </is>
      </c>
      <c r="G45" s="75" t="inlineStr">
        <is>
          <t>Check mỗi thẻ có icon loại giao tương ứng ES配送便 hoặc COOL便.</t>
        </is>
      </c>
      <c r="H45"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45" s="75" t="inlineStr">
        <is>
          <t>1. Mở Tab B 「未配送」
2. So sánh icon của thẻ ES配送便 và thẻ COOL便 trong danh sách</t>
        </is>
      </c>
      <c r="J45" s="75" t="inlineStr">
        <is>
          <t>Thẻ ES配送便 và thẻ COOL便 dùng hai icon khác nhau, cùng một loại giao dùng cùng icon.</t>
        </is>
      </c>
      <c r="K45" s="75" t="inlineStr">
        <is>
          <t>ES配送便, COOL便</t>
        </is>
      </c>
      <c r="L45" s="75" t="inlineStr">
        <is>
          <t>Medium</t>
        </is>
      </c>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inlineStr">
        <is>
          <t>TC-SHP-L2-045</t>
        </is>
      </c>
      <c r="C46" s="74" t="inlineStr">
        <is>
          <t>DA_LIST_002_ES / Thẻ tên kho kèm icon kho</t>
        </is>
      </c>
      <c r="D46" s="70" t="inlineStr">
        <is>
          <t>UI</t>
        </is>
      </c>
      <c r="E46" s="70" t="inlineStr">
        <is>
          <t>Medium</t>
        </is>
      </c>
      <c r="F46" s="70" t="inlineStr">
        <is>
          <t>BD:DA_LIST_002_ES_ListES</t>
        </is>
      </c>
      <c r="G46" s="75" t="inlineStr">
        <is>
          <t>Check tên kho và trung chuyển hiển thị kèm icon kho.</t>
        </is>
      </c>
      <c r="H46"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46" s="75" t="inlineStr">
        <is>
          <t>1. Mở Tab B 「未配送」
2. Quan sát dòng cạnh ngày của thẻ</t>
        </is>
      </c>
      <c r="J46" s="75" t="inlineStr">
        <is>
          <t>Hiển thị icon kho kèm 「オージーフーズ倉庫」 bên phải dòng ngày.</t>
        </is>
      </c>
      <c r="K46" s="75" t="inlineStr">
        <is>
          <t>オージーフーズ倉庫</t>
        </is>
      </c>
      <c r="L46" s="75" t="inlineStr">
        <is>
          <t>Medium</t>
        </is>
      </c>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inlineStr">
        <is>
          <t>TC-SHP-L2-046</t>
        </is>
      </c>
      <c r="C47" s="74" t="inlineStr">
        <is>
          <t>DA_LIST_002_ES / Thẻ 箱数 ngày tương lai</t>
        </is>
      </c>
      <c r="D47" s="70" t="inlineStr">
        <is>
          <t>Logic</t>
        </is>
      </c>
      <c r="E47" s="70" t="inlineStr">
        <is>
          <t>High</t>
        </is>
      </c>
      <c r="F47" s="70" t="inlineStr">
        <is>
          <t>AC-34; RQ-C21</t>
        </is>
      </c>
      <c r="G47" s="75" t="inlineStr">
        <is>
          <t>[UNCONFIRMED] Check thẻ ngày tương lai hiển thị số thùng dạng 「{n}箱（予定）」.</t>
        </is>
      </c>
      <c r="H47" s="75"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47" s="75" t="inlineStr">
        <is>
          <t>1. Mở Tab B 「未配送」
2. Quan sát thẻ giao 2026-10-12</t>
        </is>
      </c>
      <c r="J47" s="75" t="inlineStr">
        <is>
          <t>Hiển thị 「2箱（予定）」 theo số thùng dự kiến (Figma mẫu hiển thị 「2箱」).</t>
        </is>
      </c>
      <c r="K47" s="75" t="inlineStr">
        <is>
          <t>Thẻ 2026-10-12 dự kiến 2 箱</t>
        </is>
      </c>
      <c r="L47" s="75" t="inlineStr">
        <is>
          <t>High</t>
        </is>
      </c>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inlineStr">
        <is>
          <t>TC-SHP-L2-047</t>
        </is>
      </c>
      <c r="C48" s="74" t="inlineStr">
        <is>
          <t>DA_LIST_002_ES / Thẻ 箱数 đã picking</t>
        </is>
      </c>
      <c r="D48" s="70" t="inlineStr">
        <is>
          <t>Logic</t>
        </is>
      </c>
      <c r="E48" s="70" t="inlineStr">
        <is>
          <t>High</t>
        </is>
      </c>
      <c r="F48" s="70" t="inlineStr">
        <is>
          <t>AC-34; RQ-C21</t>
        </is>
      </c>
      <c r="G48" s="75" t="inlineStr">
        <is>
          <t>Check thẻ đã picking xong hiển thị số thùng thực tế 「{n}箱」.</t>
        </is>
      </c>
      <c r="H48" s="75"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48" s="75" t="inlineStr">
        <is>
          <t>1. Mở Tab B 「未配送」
2. Quan sát thẻ giao 2026-10-08 đã picking xong</t>
        </is>
      </c>
      <c r="J48" s="75" t="inlineStr">
        <is>
          <t>Hiển thị 「2箱」 (số thực tế, không có （予定）).</t>
        </is>
      </c>
      <c r="K48" s="75" t="inlineStr">
        <is>
          <t>Thẻ 2026-10-08 đã picking 2 箱</t>
        </is>
      </c>
      <c r="L48" s="75" t="inlineStr">
        <is>
          <t>High</t>
        </is>
      </c>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inlineStr">
        <is>
          <t>TC-SHP-L2-048</t>
        </is>
      </c>
      <c r="C49" s="74" t="inlineStr">
        <is>
          <t>DA_LIST_002_ES / Thẻ ẩn 箱数 khi chưa picking</t>
        </is>
      </c>
      <c r="D49" s="70" t="inlineStr">
        <is>
          <t>Logic</t>
        </is>
      </c>
      <c r="E49" s="70" t="inlineStr">
        <is>
          <t>High</t>
        </is>
      </c>
      <c r="F49" s="70" t="inlineStr">
        <is>
          <t>AC-34; RQ-C21</t>
        </is>
      </c>
      <c r="G49" s="75" t="inlineStr">
        <is>
          <t>Check thẻ chưa picking xong ẩn hẳn 「{n}箱」 và không hiển thị 未確定.</t>
        </is>
      </c>
      <c r="H49"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49" s="75" t="inlineStr">
        <is>
          <t>1. Mở Tab B 「未配送」
2. Quan sát thẻ giao 2026-10-08 chưa picking</t>
        </is>
      </c>
      <c r="J49" s="75" t="inlineStr">
        <is>
          <t>Thẻ không có trường 「…箱」 và không hiện 「未確定」 (khác Tab A).</t>
        </is>
      </c>
      <c r="K49" s="75" t="inlineStr">
        <is>
          <t>Thẻ 2026-10-08 chưa picking</t>
        </is>
      </c>
      <c r="L49" s="75" t="inlineStr">
        <is>
          <t>High</t>
        </is>
      </c>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inlineStr">
        <is>
          <t>TC-SHP-L2-049</t>
        </is>
      </c>
      <c r="C50" s="74" t="inlineStr">
        <is>
          <t>DA_LIST_002_ES / Thẻ 品数 đã picking</t>
        </is>
      </c>
      <c r="D50" s="70" t="inlineStr">
        <is>
          <t>Logic</t>
        </is>
      </c>
      <c r="E50" s="70" t="inlineStr">
        <is>
          <t>High</t>
        </is>
      </c>
      <c r="F50" s="70" t="inlineStr">
        <is>
          <t>AC-33; RQ-C22</t>
        </is>
      </c>
      <c r="G50" s="77" t="inlineStr">
        <is>
          <t>Check thẻ đã picking có số mặt hàng lớn hơn 0 thì hiển thị 品数 mát・thường và đông lạnh kèm icon.</t>
        </is>
      </c>
      <c r="H50"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50" s="75" t="inlineStr">
        <is>
          <t>1. Mở Tab B 「未配送」
2. Quan sát thẻ đã picking có 冷蔵・常温 10 品 và 冷凍 20 品</t>
        </is>
      </c>
      <c r="J50" s="75" t="inlineStr">
        <is>
          <t>Hiển thị 「10品」 kèm icon tủ lạnh và 「20品」 kèm icon bông tuyết.</t>
        </is>
      </c>
      <c r="K50" s="75" t="inlineStr">
        <is>
          <t>冷蔵・常温 10品, 冷凍 20品</t>
        </is>
      </c>
      <c r="L50" s="75" t="inlineStr">
        <is>
          <t>High</t>
        </is>
      </c>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inlineStr">
        <is>
          <t>TC-SHP-L2-050</t>
        </is>
      </c>
      <c r="C51" s="74" t="inlineStr">
        <is>
          <t>DA_LIST_002_ES / Thẻ 品数 ngày tương lai</t>
        </is>
      </c>
      <c r="D51" s="70" t="inlineStr">
        <is>
          <t>Logic</t>
        </is>
      </c>
      <c r="E51" s="70" t="inlineStr">
        <is>
          <t>Medium</t>
        </is>
      </c>
      <c r="F51" s="70" t="inlineStr">
        <is>
          <t>AC-33; RQ-C22</t>
        </is>
      </c>
      <c r="G51" s="75" t="inlineStr">
        <is>
          <t>Check thẻ ngày tương lai có số mặt hàng lớn hơn 0 vẫn hiển thị 品数.</t>
        </is>
      </c>
      <c r="H51"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51" s="70" t="inlineStr">
        <is>
          <t>1. Mở Tab B 「未配送」
2. Quan sát thẻ giao 2026-10-12 chưa picking, 冷蔵・常温 10 品</t>
        </is>
      </c>
      <c r="J51" s="75" t="inlineStr">
        <is>
          <t>品数 hiển thị 「10品」 vì là dữ liệu tương lai.</t>
        </is>
      </c>
      <c r="K51" s="75" t="inlineStr">
        <is>
          <t>Thẻ 2026-10-12, 10品</t>
        </is>
      </c>
      <c r="L51" s="75" t="inlineStr">
        <is>
          <t>Medium</t>
        </is>
      </c>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inlineStr">
        <is>
          <t>TC-SHP-L2-051</t>
        </is>
      </c>
      <c r="C52" s="74" t="inlineStr">
        <is>
          <t>DA_LIST_002_ES / Thẻ ẩn 品数 khi chưa picking và không phải tương lai</t>
        </is>
      </c>
      <c r="D52" s="70" t="inlineStr">
        <is>
          <t>Logic</t>
        </is>
      </c>
      <c r="E52" s="70" t="inlineStr">
        <is>
          <t>High</t>
        </is>
      </c>
      <c r="F52" s="70" t="inlineStr">
        <is>
          <t>AC-33; RQ-C22</t>
        </is>
      </c>
      <c r="G52" s="70" t="inlineStr">
        <is>
          <t>Check thẻ hôm nay hoặc quá khứ chưa picking ẩn 品数.</t>
        </is>
      </c>
      <c r="H52"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52" s="70" t="inlineStr">
        <is>
          <t>1. Mở Tab B 「未配送」
2. Quan sát thẻ giao 2026-10-08 chưa picking xong</t>
        </is>
      </c>
      <c r="J52" s="70" t="inlineStr">
        <is>
          <t>Thẻ không hiển thị 品数 (cả mát・thường và đông lạnh).</t>
        </is>
      </c>
      <c r="K52" s="70" t="inlineStr">
        <is>
          <t>Thẻ 2026-10-08 chưa picking</t>
        </is>
      </c>
      <c r="L52" s="70" t="inlineStr">
        <is>
          <t>High</t>
        </is>
      </c>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inlineStr">
        <is>
          <t>TC-SHP-L2-052</t>
        </is>
      </c>
      <c r="C53" s="74" t="inlineStr">
        <is>
          <t>DA_LIST_002_ES / Thẻ ẩn 品数 bằng 0</t>
        </is>
      </c>
      <c r="D53" s="70" t="inlineStr">
        <is>
          <t>Logic</t>
        </is>
      </c>
      <c r="E53" s="70" t="inlineStr">
        <is>
          <t>Medium</t>
        </is>
      </c>
      <c r="F53" s="70" t="inlineStr">
        <is>
          <t>AC-33; RQ-C22</t>
        </is>
      </c>
      <c r="G53" s="75" t="inlineStr">
        <is>
          <t>Check mục 品数 có giá trị 0 bị ẩn dù đã picking xong.</t>
        </is>
      </c>
      <c r="H53"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53" s="70" t="inlineStr">
        <is>
          <t>1. Mở Tab B 「未配送」
2. Quan sát thẻ đã picking có 冷凍 0 品 và 冷蔵・常温 10 品</t>
        </is>
      </c>
      <c r="J53" s="70" t="inlineStr">
        <is>
          <t>Chỉ hiển thị mục 冷蔵・常温 「10品」, không hiển thị mục 冷凍 và số 0.</t>
        </is>
      </c>
      <c r="K53" s="70" t="inlineStr">
        <is>
          <t>冷凍 0品, 冷蔵・常温 10品</t>
        </is>
      </c>
      <c r="L53" s="70" t="inlineStr">
        <is>
          <t>Medium</t>
        </is>
      </c>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inlineStr">
        <is>
          <t>TC-SHP-L2-053</t>
        </is>
      </c>
      <c r="C54" s="74" t="inlineStr">
        <is>
          <t>DA_LIST_002_ES / Thứ tự hiển thị theo ngày giao</t>
        </is>
      </c>
      <c r="D54" s="70" t="inlineStr">
        <is>
          <t>Logic</t>
        </is>
      </c>
      <c r="E54" s="70" t="inlineStr">
        <is>
          <t>High</t>
        </is>
      </c>
      <c r="F54" s="70" t="inlineStr">
        <is>
          <t>AC-28; RQ-C26</t>
        </is>
      </c>
      <c r="G54" s="75" t="inlineStr">
        <is>
          <t>[UNCONFIRMED] Check danh sách sắp xếp theo 納品日付 trước tiên.</t>
        </is>
      </c>
      <c r="H54"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54" s="75" t="inlineStr">
        <is>
          <t>1. Mở Tab B 「未配送」 với khoảng 2026-10-08 đến 2026-10-15
2. Ghi lại ngày giao của các thẻ từ trên xuống</t>
        </is>
      </c>
      <c r="J54" s="70" t="inlineStr">
        <is>
          <t>Thẻ được sắp theo ngày giao nhất quán (ghi nhận tăng hay giảm dần). Hướng sắp xếp chưa được nêu rõ.</t>
        </is>
      </c>
      <c r="K54" s="70" t="inlineStr">
        <is>
          <t>Thẻ ngày 2026-10-08, 2026-10-09, 2026-10-12</t>
        </is>
      </c>
      <c r="L54" s="70" t="inlineStr">
        <is>
          <t>High</t>
        </is>
      </c>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inlineStr">
        <is>
          <t>TC-SHP-L2-054</t>
        </is>
      </c>
      <c r="C55" s="74" t="inlineStr">
        <is>
          <t>DA_LIST_002_ES / Thứ tự hiển thị theo ステータス và 拠点名</t>
        </is>
      </c>
      <c r="D55" s="70" t="inlineStr">
        <is>
          <t>Logic</t>
        </is>
      </c>
      <c r="E55" s="70" t="inlineStr">
        <is>
          <t>Medium</t>
        </is>
      </c>
      <c r="F55" s="70" t="inlineStr">
        <is>
          <t>RQ-C26</t>
        </is>
      </c>
      <c r="G55" s="75" t="inlineStr">
        <is>
          <t>[UNCONFIRMED] Check cùng một ngày thì sắp theo ステータス rồi 拠点名.</t>
        </is>
      </c>
      <c r="H55"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55" s="75" t="inlineStr">
        <is>
          <t>1. Mở Tab B 「未配送」
2. Xem các thẻ cùng ngày 2026-10-08 có trạng thái và tên điểm khác nhau</t>
        </is>
      </c>
      <c r="J55" s="75" t="inlineStr">
        <is>
          <t>Thứ tự theo ステータス rồi 拠点名 nhất quán. Thứ tự chi tiết chưa được tài liệu nêu rõ.</t>
        </is>
      </c>
      <c r="K55" s="75" t="inlineStr">
        <is>
          <t>Thẻ cùng ngày 2026-10-08</t>
        </is>
      </c>
      <c r="L55" s="75" t="inlineStr">
        <is>
          <t>Medium</t>
        </is>
      </c>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inlineStr">
        <is>
          <t>TC-SHP-L2-055</t>
        </is>
      </c>
      <c r="C56" s="76" t="inlineStr">
        <is>
          <t>DA_LIST_002_ES / Phân trang lần tải đầu</t>
        </is>
      </c>
      <c r="D56" s="75" t="inlineStr">
        <is>
          <t>Behavior</t>
        </is>
      </c>
      <c r="E56" s="75" t="inlineStr">
        <is>
          <t>High</t>
        </is>
      </c>
      <c r="F56" s="75" t="inlineStr">
        <is>
          <t>RQ-C24; RQ-C26; OQ-07</t>
        </is>
      </c>
      <c r="G56" s="75" t="inlineStr">
        <is>
          <t>Check lần tải đầu hiển thị 20 bản ghi khi khoảng ngày có 45 bản ghi.</t>
        </is>
      </c>
      <c r="H56"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 Seed có 45 thẻ.</t>
        </is>
      </c>
      <c r="I56" s="75" t="inlineStr">
        <is>
          <t>1. Mở Tab B 「未配送」
2. Không cuộn, đếm số thẻ đã tải</t>
        </is>
      </c>
      <c r="J56" s="75" t="inlineStr">
        <is>
          <t>Có đúng 20 thẻ được tải.</t>
        </is>
      </c>
      <c r="K56" s="75" t="inlineStr">
        <is>
          <t>45 bản ghi seed</t>
        </is>
      </c>
      <c r="L56" s="75" t="inlineStr">
        <is>
          <t>High</t>
        </is>
      </c>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inlineStr">
        <is>
          <t>TC-SHP-L2-056</t>
        </is>
      </c>
      <c r="C57" s="76" t="inlineStr">
        <is>
          <t>DA_LIST_002_ES / Phân trang tự tải khi cuộn</t>
        </is>
      </c>
      <c r="D57" s="75" t="inlineStr">
        <is>
          <t>Behavior</t>
        </is>
      </c>
      <c r="E57" s="75" t="inlineStr">
        <is>
          <t>High</t>
        </is>
      </c>
      <c r="F57" s="75" t="inlineStr">
        <is>
          <t>RQ-C26; OQ-07</t>
        </is>
      </c>
      <c r="G57" s="75" t="inlineStr">
        <is>
          <t>Check cuộn đến cuối danh sách thì tự tải thêm 20 bản ghi kế tiếp.</t>
        </is>
      </c>
      <c r="H57" s="75"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 Seed có 45 thẻ.</t>
        </is>
      </c>
      <c r="I57" s="75" t="inlineStr">
        <is>
          <t>1. Mở Tab B 「未配送」
2. Cuộn đến cuối 20 thẻ đầu</t>
        </is>
      </c>
      <c r="J57" s="75" t="inlineStr">
        <is>
          <t>Tự tải thêm 20 thẻ (tổng 40), không trùng thẻ, không mất thứ tự.</t>
        </is>
      </c>
      <c r="K57" s="75" t="inlineStr">
        <is>
          <t>45 bản ghi seed</t>
        </is>
      </c>
      <c r="L57" s="75" t="inlineStr">
        <is>
          <t>High</t>
        </is>
      </c>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inlineStr">
        <is>
          <t>TC-SHP-L2-057</t>
        </is>
      </c>
      <c r="C58" s="76" t="inlineStr">
        <is>
          <t>DA_LIST_002_ES / Phân trang trang cuối</t>
        </is>
      </c>
      <c r="D58" s="75" t="inlineStr">
        <is>
          <t>Behavior</t>
        </is>
      </c>
      <c r="E58" s="75" t="inlineStr">
        <is>
          <t>Medium</t>
        </is>
      </c>
      <c r="F58" s="75" t="inlineStr">
        <is>
          <t>RQ-C26; OQ-07</t>
        </is>
      </c>
      <c r="G58" s="75" t="inlineStr">
        <is>
          <t>Check khi hết dữ liệu thì không tải thêm.</t>
        </is>
      </c>
      <c r="H58" s="75"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 Seed có 45 thẻ.</t>
        </is>
      </c>
      <c r="I58" s="75" t="inlineStr">
        <is>
          <t>1. Mở Tab B 「未配送」
2. Cuộn đến cuối ba lần liên tiếp</t>
        </is>
      </c>
      <c r="J58" s="75" t="inlineStr">
        <is>
          <t>Lần 3 tải thêm 5 thẻ (tổng 45), cuộn tiếp không tải thêm và không có vòng quay tải.</t>
        </is>
      </c>
      <c r="K58" s="75" t="inlineStr">
        <is>
          <t>45 bản ghi seed</t>
        </is>
      </c>
      <c r="L58" s="75" t="inlineStr">
        <is>
          <t>Medium</t>
        </is>
      </c>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inlineStr">
        <is>
          <t>TC-SHP-L2-058</t>
        </is>
      </c>
      <c r="C59" s="76" t="inlineStr">
        <is>
          <t>DA_LIST_002_ES / Phân trang tính theo tìm kiếm</t>
        </is>
      </c>
      <c r="D59" s="75" t="inlineStr">
        <is>
          <t>Behavior</t>
        </is>
      </c>
      <c r="E59" s="75" t="inlineStr">
        <is>
          <t>Medium</t>
        </is>
      </c>
      <c r="F59" s="75" t="inlineStr">
        <is>
          <t>RQ-C26; OQ-07</t>
        </is>
      </c>
      <c r="G59" s="79" t="inlineStr">
        <is>
          <t>[UNCONFIRMED] Check việc tải trang kế tiếp vẫn áp dụng từ khoá và dropdown kho đang chọn.</t>
        </is>
      </c>
      <c r="H59"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 Seed có 45 thẻ, 30 thẻ thuộc 「オージーフーズ倉庫」.</t>
        </is>
      </c>
      <c r="I59" s="75" t="inlineStr">
        <is>
          <t>1. Mở Tab B 「未配送」
2. Chọn 「オージーフーズ倉庫」
3. Cuộn đến cuối 20 thẻ đầu</t>
        </is>
      </c>
      <c r="J59" s="75" t="inlineStr">
        <is>
          <t>Tải thêm 10 thẻ của 「オージーフーズ倉庫」, không xuất hiện thẻ kho khác.</t>
        </is>
      </c>
      <c r="K59" s="75" t="inlineStr">
        <is>
          <t>30 thẻ オージーフーズ倉庫</t>
        </is>
      </c>
      <c r="L59" s="75" t="inlineStr">
        <is>
          <t>Medium</t>
        </is>
      </c>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inlineStr">
        <is>
          <t>TC-SHP-L2-059</t>
        </is>
      </c>
      <c r="C60" s="76" t="inlineStr">
        <is>
          <t>DA_LIST_002_ES / Empty state khoảng ngày không có bản ghi</t>
        </is>
      </c>
      <c r="D60" s="70" t="inlineStr">
        <is>
          <t>Behavior</t>
        </is>
      </c>
      <c r="E60" s="70" t="inlineStr">
        <is>
          <t>High</t>
        </is>
      </c>
      <c r="F60" s="70" t="inlineStr">
        <is>
          <t>AC-101; RQ-C25; OQ-06; OQ-35; E_DALIST002ES_003</t>
        </is>
      </c>
      <c r="G60" s="75" t="inlineStr">
        <is>
          <t>[UNCONFIRMED] Check khoảng ngày không có thẻ nào thì hiện empty state theo bản v3.</t>
        </is>
      </c>
      <c r="H60"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60" s="75" t="inlineStr">
        <is>
          <t>1. Mở Tab B 「未配送」
2. Chọn 開始日 2027-01-04 và 終了日 2027-01-11</t>
        </is>
      </c>
      <c r="J60" s="75" t="inlineStr">
        <is>
          <t>Danh sách trống, hiển thị 「配送予定データはありません。」 (mã E_DALIST002ES_003). Câu chữ theo Figma v3, đang chờ BrSE xác nhận (SPEC cũ ghi 「該当する配送はありません。」).</t>
        </is>
      </c>
      <c r="K60" s="75" t="inlineStr">
        <is>
          <t>2027-01-04 đến 2027-01-11</t>
        </is>
      </c>
      <c r="L60" s="75" t="inlineStr">
        <is>
          <t>High</t>
        </is>
      </c>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inlineStr">
        <is>
          <t>TC-SHP-L2-060</t>
        </is>
      </c>
      <c r="C61" s="76" t="inlineStr">
        <is>
          <t>DA_LIST_002_ES / Empty state biến mất khi đổi sang khoảng có dữ liệu</t>
        </is>
      </c>
      <c r="D61" s="70" t="inlineStr">
        <is>
          <t>Behavior</t>
        </is>
      </c>
      <c r="E61" s="70" t="inlineStr">
        <is>
          <t>Medium</t>
        </is>
      </c>
      <c r="F61" s="70" t="inlineStr">
        <is>
          <t>RQ-C25; OQ-06</t>
        </is>
      </c>
      <c r="G61" s="75" t="inlineStr">
        <is>
          <t>[UNCONFIRMED] Check empty state biến mất khi đổi lại khoảng ngày có dữ liệu.</t>
        </is>
      </c>
      <c r="H61"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61" s="75" t="inlineStr">
        <is>
          <t>1. Mở Tab B 「未配送」, chọn khoảng 2027-01-04 đến 2027-01-11
2. Chọn lại 開始日 2026-10-08 và 終了日 2026-10-15</t>
        </is>
      </c>
      <c r="J61" s="75" t="inlineStr">
        <is>
          <t>Empty state biến mất, danh sách thẻ hiển thị lại.</t>
        </is>
      </c>
      <c r="K61" s="75" t="inlineStr">
        <is>
          <t>2027-01-04 rồi 2026-10-08</t>
        </is>
      </c>
      <c r="L61" s="75" t="inlineStr">
        <is>
          <t>Medium</t>
        </is>
      </c>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inlineStr">
        <is>
          <t>TC-SHP-L2-061</t>
        </is>
      </c>
      <c r="C62" s="76" t="inlineStr">
        <is>
          <t>DA_LIST_002_ES / Thẻ badge 未配送</t>
        </is>
      </c>
      <c r="D62" s="70" t="inlineStr">
        <is>
          <t>UI</t>
        </is>
      </c>
      <c r="E62" s="70" t="inlineStr">
        <is>
          <t>Medium</t>
        </is>
      </c>
      <c r="F62" s="70" t="inlineStr">
        <is>
          <t>AC-36; RQ-C13</t>
        </is>
      </c>
      <c r="G62" s="75" t="inlineStr">
        <is>
          <t>Check badge 「未配送」 hiển thị màu cam.</t>
        </is>
      </c>
      <c r="H62"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62" s="70" t="inlineStr">
        <is>
          <t>1. Mở Tab B
2. Quan sát thẻ trạng thái 未配送</t>
        </is>
      </c>
      <c r="J62" s="75" t="inlineStr">
        <is>
          <t>Badge 「未配送」 màu cam viền cam ở góc phải trên thẻ.</t>
        </is>
      </c>
      <c r="K62" s="75" t="inlineStr">
        <is>
          <t>未配送</t>
        </is>
      </c>
      <c r="L62" s="75" t="inlineStr">
        <is>
          <t>Medium</t>
        </is>
      </c>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inlineStr">
        <is>
          <t>TC-SHP-L2-062</t>
        </is>
      </c>
      <c r="C63" s="76" t="inlineStr">
        <is>
          <t>DA_LIST_002_ES / Thẻ badge トラブル</t>
        </is>
      </c>
      <c r="D63" s="70" t="inlineStr">
        <is>
          <t>UI</t>
        </is>
      </c>
      <c r="E63" s="70" t="inlineStr">
        <is>
          <t>Medium</t>
        </is>
      </c>
      <c r="F63" s="70" t="inlineStr">
        <is>
          <t>AC-36; RQ-C13</t>
        </is>
      </c>
      <c r="G63" s="70" t="inlineStr">
        <is>
          <t>Check badge 「トラブル」 hiển thị màu đỏ trên Tab B.</t>
        </is>
      </c>
      <c r="H63"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63" s="70" t="inlineStr">
        <is>
          <t>1. Mở Tab B
2. Quan sát thẻ trạng thái トラブル</t>
        </is>
      </c>
      <c r="J63" s="70" t="inlineStr">
        <is>
          <t>Badge 「トラブル」 màu đỏ ở góc phải trên thẻ.</t>
        </is>
      </c>
      <c r="K63" s="70" t="inlineStr">
        <is>
          <t>トラブル</t>
        </is>
      </c>
      <c r="L63" s="70" t="inlineStr">
        <is>
          <t>Medium</t>
        </is>
      </c>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inlineStr">
        <is>
          <t>TC-SHP-L2-063</t>
        </is>
      </c>
      <c r="C64" s="76" t="inlineStr">
        <is>
          <t>DA_LIST_002_ES / Tab B chỉ có 未配送 và トラブル</t>
        </is>
      </c>
      <c r="D64" s="70" t="inlineStr">
        <is>
          <t>Logic</t>
        </is>
      </c>
      <c r="E64" s="70" t="inlineStr">
        <is>
          <t>High</t>
        </is>
      </c>
      <c r="F64" s="70" t="inlineStr">
        <is>
          <t>AC-28; RQ-C06</t>
        </is>
      </c>
      <c r="G64" s="75" t="inlineStr">
        <is>
          <t>Check Tab B chỉ chứa đơn 未配送 và トラブル, không có 配送完了.</t>
        </is>
      </c>
      <c r="H64"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64" s="70" t="inlineStr">
        <is>
          <t>1. Mở Tab B
2. Duyệt toàn bộ danh sách trong khoảng 2026-10-08 đến 2026-10-15</t>
        </is>
      </c>
      <c r="J64" s="70" t="inlineStr">
        <is>
          <t>Mọi thẻ có badge 「未配送」 hoặc 「トラブル」; không có thẻ 「配送完了」. Cả ES配送便 và COOL便 đều xuất hiện.</t>
        </is>
      </c>
      <c r="K64" s="70" t="inlineStr">
        <is>
          <t>-</t>
        </is>
      </c>
      <c r="L64" s="70" t="inlineStr">
        <is>
          <t>High</t>
        </is>
      </c>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inlineStr">
        <is>
          <t>TC-SHP-L2-064</t>
        </is>
      </c>
      <c r="C65" s="76" t="inlineStr">
        <is>
          <t>DA_LIST_002_ES / Thẻ ES配送便 hôm nay mở màn sửa được</t>
        </is>
      </c>
      <c r="D65" s="70" t="inlineStr">
        <is>
          <t>Navigation</t>
        </is>
      </c>
      <c r="E65" s="70" t="inlineStr">
        <is>
          <t>High</t>
        </is>
      </c>
      <c r="F65" s="70" t="inlineStr">
        <is>
          <t>AC-38; RQ-E61</t>
        </is>
      </c>
      <c r="G65" s="75" t="inlineStr">
        <is>
          <t>Check bấm thẻ ES配送便 未配送 giao hôm nay thì mở chi tiết có nút bắt đầu 陳列.</t>
        </is>
      </c>
      <c r="H65"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65" s="75" t="inlineStr">
        <is>
          <t>1. Mở Tab B
2. Bấm thẻ ES配送便 未配送 ngày 2026-10-08 điểm giao 「大和インターナショナルトレーディング株式会社」</t>
        </is>
      </c>
      <c r="J65" s="70" t="inlineStr">
        <is>
          <t>Mở DA_ESDL_000_0, nút 「陳列を開始する」 hiển thị và bấm được.</t>
        </is>
      </c>
      <c r="K65" s="70" t="inlineStr">
        <is>
          <t>ES配送便 未配送 2026-10-08</t>
        </is>
      </c>
      <c r="L65" s="70" t="inlineStr">
        <is>
          <t>High</t>
        </is>
      </c>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inlineStr">
        <is>
          <t>TC-SHP-L2-065</t>
        </is>
      </c>
      <c r="C66" s="76" t="inlineStr">
        <is>
          <t>DA_LIST_002_ES / Thẻ ES配送便 tương lai mở màn chỉ đọc</t>
        </is>
      </c>
      <c r="D66" s="70" t="inlineStr">
        <is>
          <t>Navigation</t>
        </is>
      </c>
      <c r="E66" s="70" t="inlineStr">
        <is>
          <t>High</t>
        </is>
      </c>
      <c r="F66" s="70" t="inlineStr">
        <is>
          <t>AC-38; RQ-E61</t>
        </is>
      </c>
      <c r="G66" s="75" t="inlineStr">
        <is>
          <t>Check bấm thẻ ES配送便 giao ngày tương lai thì mở chi tiết chỉ đọc, ẩn nút thao tác.</t>
        </is>
      </c>
      <c r="H66"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66" s="75" t="inlineStr">
        <is>
          <t>1. Mở Tab B
2. Bấm thẻ ES配送便 未配送 ngày 2026-10-12</t>
        </is>
      </c>
      <c r="J66" s="75" t="inlineStr">
        <is>
          <t>Mở DA_ESDL_000_1 chỉ đọc, nút 「陳列を開始する」 không hiển thị.</t>
        </is>
      </c>
      <c r="K66" s="75" t="inlineStr">
        <is>
          <t>ES配送便 未配送 2026-10-12</t>
        </is>
      </c>
      <c r="L66" s="75" t="inlineStr">
        <is>
          <t>High</t>
        </is>
      </c>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inlineStr">
        <is>
          <t>TC-SHP-L2-066</t>
        </is>
      </c>
      <c r="C67" s="75" t="inlineStr">
        <is>
          <t>DA_LIST_002_ES / Thẻ ES配送便 トラブル mở chỉ đọc</t>
        </is>
      </c>
      <c r="D67" s="70" t="inlineStr">
        <is>
          <t>Navigation</t>
        </is>
      </c>
      <c r="E67" s="70" t="inlineStr">
        <is>
          <t>High</t>
        </is>
      </c>
      <c r="F67" s="70" t="inlineStr">
        <is>
          <t>AC-38; RQ-E61</t>
        </is>
      </c>
      <c r="G67" s="75" t="inlineStr">
        <is>
          <t>[UNCONFIRMED] Check bấm thẻ ES配送便 トラブル thì mở chi tiết chỉ đọc, ẩn nút thao tác.</t>
        </is>
      </c>
      <c r="H67"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67" s="75" t="inlineStr">
        <is>
          <t>1. Mở Tab B
2. Bấm thẻ ES配送便 トラブル ngày 2026-10-08</t>
        </is>
      </c>
      <c r="J67" s="75" t="inlineStr">
        <is>
          <t>Mở màn chi tiết ES chỉ đọc, nút thao tác không hiển thị. Đích chính xác DA_ESDL_000_0 hay DA_ESDL_000_1 cần BA xác nhận.</t>
        </is>
      </c>
      <c r="K67" s="75" t="inlineStr">
        <is>
          <t>ES配送便 トラブル 2026-10-08</t>
        </is>
      </c>
      <c r="L67" s="75" t="inlineStr">
        <is>
          <t>High</t>
        </is>
      </c>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inlineStr">
        <is>
          <t>TC-SHP-L2-067</t>
        </is>
      </c>
      <c r="C68" s="75" t="inlineStr">
        <is>
          <t>DA_LIST_002_ES / Thẻ COOL便 hôm nay mở màn sửa được</t>
        </is>
      </c>
      <c r="D68" s="70" t="inlineStr">
        <is>
          <t>Navigation</t>
        </is>
      </c>
      <c r="E68" s="70" t="inlineStr">
        <is>
          <t>High</t>
        </is>
      </c>
      <c r="F68" s="70" t="inlineStr">
        <is>
          <t>AC-38; RQ-C06</t>
        </is>
      </c>
      <c r="G68" s="75" t="inlineStr">
        <is>
          <t>Check bấm thẻ COOL便 未配送 giao hôm nay thì mở chi tiết COOL có thể thao tác.</t>
        </is>
      </c>
      <c r="H68"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68" s="75" t="inlineStr">
        <is>
          <t>1. Mở Tab B
2. Bấm thẻ COOL便 未配送 ngày 2026-10-08</t>
        </is>
      </c>
      <c r="J68" s="75" t="inlineStr">
        <is>
          <t>Mở DA_COOL_001, tick kiện và nút 「完了」 hiển thị.</t>
        </is>
      </c>
      <c r="K68" s="75" t="inlineStr">
        <is>
          <t>COOL便 未配送 2026-10-08</t>
        </is>
      </c>
      <c r="L68" s="75" t="inlineStr">
        <is>
          <t>High</t>
        </is>
      </c>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inlineStr">
        <is>
          <t>TC-SHP-L2-068</t>
        </is>
      </c>
      <c r="C69" s="75" t="inlineStr">
        <is>
          <t>DA_LIST_002_ES / Thẻ COOL便 tương lai</t>
        </is>
      </c>
      <c r="D69" s="70" t="inlineStr">
        <is>
          <t>Navigation</t>
        </is>
      </c>
      <c r="E69" s="70" t="inlineStr">
        <is>
          <t>Medium</t>
        </is>
      </c>
      <c r="F69" s="70" t="inlineStr">
        <is>
          <t>AC-38; OQ-31; RQ-F07</t>
        </is>
      </c>
      <c r="G69" s="75" t="inlineStr">
        <is>
          <t>[UNCONFIRMED] Check bấm thẻ COOL便 giao ngày tương lai (SPEC ghi chốt ẩn nút 「完了」 nhưng bảng quyền ghi UNKNOWN).</t>
        </is>
      </c>
      <c r="H69"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69" s="70" t="inlineStr">
        <is>
          <t>1. Mở Tab B
2. Bấm thẻ COOL便 未配送 ngày 2026-10-12</t>
        </is>
      </c>
      <c r="J69" s="75" t="inlineStr">
        <is>
          <t>Mở DA_COOL_001 chỉ đọc, nút 「完了」 không hiển thị (theo quyết định OQ-31). Ghi nhận khác biệt nếu có.</t>
        </is>
      </c>
      <c r="K69" s="75" t="inlineStr">
        <is>
          <t>COOL便 未配送 2026-10-12</t>
        </is>
      </c>
      <c r="L69" s="75" t="inlineStr">
        <is>
          <t>Medium</t>
        </is>
      </c>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inlineStr">
        <is>
          <t>TC-SHP-L2-069</t>
        </is>
      </c>
      <c r="C70" s="75" t="inlineStr">
        <is>
          <t>DA_LIST_002_ES / Thẻ COOL便 トラブル mở chỉ đọc</t>
        </is>
      </c>
      <c r="D70" s="70" t="inlineStr">
        <is>
          <t>Navigation</t>
        </is>
      </c>
      <c r="E70" s="70" t="inlineStr">
        <is>
          <t>High</t>
        </is>
      </c>
      <c r="F70" s="70" t="inlineStr">
        <is>
          <t>AC-38; RQ-E61</t>
        </is>
      </c>
      <c r="G70" s="70" t="inlineStr">
        <is>
          <t>Check bấm thẻ COOL便 トラブル thì mở chi tiết chỉ đọc.</t>
        </is>
      </c>
      <c r="H70"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70" s="70" t="inlineStr">
        <is>
          <t>1. Mở Tab B
2. Bấm thẻ COOL便 トラブル</t>
        </is>
      </c>
      <c r="J70" s="70" t="inlineStr">
        <is>
          <t>Mở DA_COOL_001 chỉ đọc, không có nút 「完了」, không tick được kiện.</t>
        </is>
      </c>
      <c r="K70" s="70" t="inlineStr">
        <is>
          <t>COOL便 トラブル</t>
        </is>
      </c>
      <c r="L70" s="70" t="inlineStr">
        <is>
          <t>High</t>
        </is>
      </c>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inlineStr">
        <is>
          <t>TC-SHP-L2-070</t>
        </is>
      </c>
      <c r="C71" s="75" t="inlineStr">
        <is>
          <t>DA_LIST_002_ES / Thẻ bấm vào vùng trống của thẻ</t>
        </is>
      </c>
      <c r="D71" s="70" t="inlineStr">
        <is>
          <t>Navigation</t>
        </is>
      </c>
      <c r="E71" s="70" t="inlineStr">
        <is>
          <t>Medium</t>
        </is>
      </c>
      <c r="F71" s="70" t="inlineStr">
        <is>
          <t>AC-38</t>
        </is>
      </c>
      <c r="G71" s="75" t="inlineStr">
        <is>
          <t>Check toàn bộ vùng thẻ bấm được.</t>
        </is>
      </c>
      <c r="H71"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71" s="70" t="inlineStr">
        <is>
          <t>1. Mở Tab B
2. Bấm vào vùng trống bên phải dòng 品数 của thẻ ES配送便 ngày 2026-10-08</t>
        </is>
      </c>
      <c r="J71" s="70" t="inlineStr">
        <is>
          <t>Mở DA_ESDL_000_0 như khi bấm tên điểm giao.</t>
        </is>
      </c>
      <c r="K71" s="70" t="inlineStr">
        <is>
          <t>ES配送便 2026-10-08</t>
        </is>
      </c>
      <c r="L71" s="70" t="inlineStr">
        <is>
          <t>Medium</t>
        </is>
      </c>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inlineStr">
        <is>
          <t>TC-SHP-L2-071</t>
        </is>
      </c>
      <c r="C72" s="75" t="inlineStr">
        <is>
          <t>DA_LIST_002_ES / Thẻ bấm đúp liên tiếp</t>
        </is>
      </c>
      <c r="D72" s="70" t="inlineStr">
        <is>
          <t>Negative</t>
        </is>
      </c>
      <c r="E72" s="70" t="inlineStr">
        <is>
          <t>Medium</t>
        </is>
      </c>
      <c r="F72" s="70" t="inlineStr">
        <is>
          <t>AC-38</t>
        </is>
      </c>
      <c r="G72" s="75" t="inlineStr">
        <is>
          <t>Check bấm đúp nhanh vào thẻ chỉ mở một màn chi tiết.</t>
        </is>
      </c>
      <c r="H72"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72" s="75" t="inlineStr">
        <is>
          <t>1. Mở Tab B
2. Bấm đúp nhanh vào thẻ ES配送便 ngày 2026-10-08</t>
        </is>
      </c>
      <c r="J72" s="70" t="inlineStr">
        <is>
          <t>Chỉ mở một màn DA_ESDL_000_0, Back một lần về lại Tab B.</t>
        </is>
      </c>
      <c r="K72" s="70" t="inlineStr">
        <is>
          <t>ES配送便 2026-10-08</t>
        </is>
      </c>
      <c r="L72" s="70" t="inlineStr">
        <is>
          <t>Medium</t>
        </is>
      </c>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inlineStr">
        <is>
          <t>TC-SHP-L2-072</t>
        </is>
      </c>
      <c r="C73" s="75" t="inlineStr">
        <is>
          <t>DA_LIST_002_ES / Quay lại từ màn chi tiết giữ bộ lọc</t>
        </is>
      </c>
      <c r="D73" s="70" t="inlineStr">
        <is>
          <t>Navigation</t>
        </is>
      </c>
      <c r="E73" s="70" t="inlineStr">
        <is>
          <t>Medium</t>
        </is>
      </c>
      <c r="F73" s="70" t="inlineStr">
        <is>
          <t>AC-38</t>
        </is>
      </c>
      <c r="G73" s="75" t="inlineStr">
        <is>
          <t>[UNCONFIRMED] Check quay lại từ chi tiết thì Tab B còn giữ khoảng ngày và bộ lọc.</t>
        </is>
      </c>
      <c r="H73"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73" s="75" t="inlineStr">
        <is>
          <t>1. Mở Tab B, chọn 終了日 2026-10-12 và kho 「オージーフーズ倉庫」
2. Bấm một thẻ rồi bấm back 「＜」</t>
        </is>
      </c>
      <c r="J73" s="75" t="inlineStr">
        <is>
          <t>Quay về Tab B. Ghi nhận bộ lọc giữ hay đặt lại (tài liệu chưa nêu).</t>
        </is>
      </c>
      <c r="K73" s="75" t="inlineStr">
        <is>
          <t>終了日 2026-10-12</t>
        </is>
      </c>
      <c r="L73" s="75" t="inlineStr">
        <is>
          <t>Medium</t>
        </is>
      </c>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inlineStr">
        <is>
          <t>TC-SHP-L2-073</t>
        </is>
      </c>
      <c r="C74" s="75" t="inlineStr">
        <is>
          <t>DA_LIST_002_ES / Bottom nav ホーム</t>
        </is>
      </c>
      <c r="D74" s="70" t="inlineStr">
        <is>
          <t>Navigation</t>
        </is>
      </c>
      <c r="E74" s="70" t="inlineStr">
        <is>
          <t>Medium</t>
        </is>
      </c>
      <c r="F74" s="70" t="inlineStr">
        <is>
          <t>RQ-B30</t>
        </is>
      </c>
      <c r="G74" s="75" t="inlineStr">
        <is>
          <t>Check bấm 「ホーム」 ở bottom nav mở đúng màn.</t>
        </is>
      </c>
      <c r="H74"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74" s="75" t="inlineStr">
        <is>
          <t>1. Mở Tab B
2. Bấm 「ホーム」</t>
        </is>
      </c>
      <c r="J74" s="75" t="inlineStr">
        <is>
          <t>Mở DA_HOME_001.</t>
        </is>
      </c>
      <c r="K74" s="75" t="inlineStr">
        <is>
          <t>-</t>
        </is>
      </c>
      <c r="L74" s="75" t="inlineStr">
        <is>
          <t>Medium</t>
        </is>
      </c>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inlineStr">
        <is>
          <t>TC-SHP-L2-074</t>
        </is>
      </c>
      <c r="C75" s="75" t="inlineStr">
        <is>
          <t>DA_LIST_002_ES / Bottom nav アカウント</t>
        </is>
      </c>
      <c r="D75" s="70" t="inlineStr">
        <is>
          <t>Navigation</t>
        </is>
      </c>
      <c r="E75" s="70" t="inlineStr">
        <is>
          <t>Medium</t>
        </is>
      </c>
      <c r="F75" s="70" t="inlineStr">
        <is>
          <t>RQ-B30</t>
        </is>
      </c>
      <c r="G75" s="75" t="inlineStr">
        <is>
          <t>Check bấm 「アカウント」 ở bottom nav mở đúng màn.</t>
        </is>
      </c>
      <c r="H75"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75" s="75" t="inlineStr">
        <is>
          <t>1. Mở Tab B
2. Bấm 「アカウント」</t>
        </is>
      </c>
      <c r="J75" s="75" t="inlineStr">
        <is>
          <t>Mở DA_HOME_005.</t>
        </is>
      </c>
      <c r="K75" s="75" t="inlineStr">
        <is>
          <t>-</t>
        </is>
      </c>
      <c r="L75" s="75" t="inlineStr">
        <is>
          <t>Medium</t>
        </is>
      </c>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inlineStr">
        <is>
          <t>TC-SHP-L2-075</t>
        </is>
      </c>
      <c r="C76" s="75" t="inlineStr">
        <is>
          <t>DA_LIST_002_ES / Bottom nav 配送一覧</t>
        </is>
      </c>
      <c r="D76" s="75" t="inlineStr">
        <is>
          <t>Navigation</t>
        </is>
      </c>
      <c r="E76" s="75" t="inlineStr">
        <is>
          <t>Low</t>
        </is>
      </c>
      <c r="F76" s="75" t="inlineStr">
        <is>
          <t>RQ-B30</t>
        </is>
      </c>
      <c r="G76" s="75" t="inlineStr">
        <is>
          <t>Check bấm 「配送一覧」 khi đang ở Tab B giữ nguyên màn.</t>
        </is>
      </c>
      <c r="H76"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76" s="75" t="inlineStr">
        <is>
          <t>1. Mở Tab B
2. Bấm 「配送一覧」</t>
        </is>
      </c>
      <c r="J76" s="75" t="inlineStr">
        <is>
          <t>Giữ nguyên màn Tab B.</t>
        </is>
      </c>
      <c r="K76" s="75" t="inlineStr">
        <is>
          <t>-</t>
        </is>
      </c>
      <c r="L76" s="75" t="inlineStr">
        <is>
          <t>Low</t>
        </is>
      </c>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inlineStr">
        <is>
          <t>TC-SHP-L2-076</t>
        </is>
      </c>
      <c r="C77" s="75" t="inlineStr">
        <is>
          <t>DA_LIST_002_ES / Bottom nav hiển thị 5 tab</t>
        </is>
      </c>
      <c r="D77" s="75" t="inlineStr">
        <is>
          <t>UI</t>
        </is>
      </c>
      <c r="E77" s="75" t="inlineStr">
        <is>
          <t>Medium</t>
        </is>
      </c>
      <c r="F77" s="75" t="inlineStr">
        <is>
          <t>RQ-B30</t>
        </is>
      </c>
      <c r="G77" s="75" t="inlineStr">
        <is>
          <t>[UNCONFIRMED] Check bottom nav có đủ 5 tab.</t>
        </is>
      </c>
      <c r="H77" s="70"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77" s="75" t="inlineStr">
        <is>
          <t>1. Mở Tab B
2. Quan sát bottom nav</t>
        </is>
      </c>
      <c r="J77" s="75" t="inlineStr">
        <is>
          <t>5 tab 「ホーム」「マニュアル」「配送一覧」「トラブル」「アカウント」, tab 「配送一覧」 được nhấn mạnh trong Figma (kiểu tab chọn UNKNOWN trong Basic Design).</t>
        </is>
      </c>
      <c r="K77" s="75" t="inlineStr">
        <is>
          <t>-</t>
        </is>
      </c>
      <c r="L77" s="75" t="inlineStr">
        <is>
          <t>Medium</t>
        </is>
      </c>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inlineStr">
        <is>
          <t>TC-SHP-L2-077</t>
        </is>
      </c>
      <c r="C78" s="80" t="inlineStr">
        <is>
          <t>DA_LIST_002_ES / Bottom nav マニュアル</t>
        </is>
      </c>
      <c r="D78" s="81" t="inlineStr">
        <is>
          <t>Navigation</t>
        </is>
      </c>
      <c r="E78" s="81" t="inlineStr">
        <is>
          <t>Low</t>
        </is>
      </c>
      <c r="F78" s="81" t="inlineStr">
        <is>
          <t>RQ-B30; OQ-01</t>
        </is>
      </c>
      <c r="G78" s="81" t="inlineStr">
        <is>
          <t>[UNCONFIRMED] Check bấm 「マニュアル」 (màn đích chưa thiết kế).</t>
        </is>
      </c>
      <c r="H78" s="8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78" s="81" t="inlineStr">
        <is>
          <t>1. Mở Tab B
2. Bấm 「マニュアル」</t>
        </is>
      </c>
      <c r="J78" s="81" t="inlineStr">
        <is>
          <t>Ghi nhận hành vi thực tế. Đích chưa được định nghĩa (OQ-01).</t>
        </is>
      </c>
      <c r="K78" s="81" t="inlineStr">
        <is>
          <t>-</t>
        </is>
      </c>
      <c r="L78" s="81" t="inlineStr">
        <is>
          <t>Low</t>
        </is>
      </c>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inlineStr">
        <is>
          <t>TC-SHP-L2-078</t>
        </is>
      </c>
      <c r="C79" s="80" t="inlineStr">
        <is>
          <t>DA_LIST_002_ES / Bottom nav トラブル</t>
        </is>
      </c>
      <c r="D79" s="81" t="inlineStr">
        <is>
          <t>Navigation</t>
        </is>
      </c>
      <c r="E79" s="81" t="inlineStr">
        <is>
          <t>Low</t>
        </is>
      </c>
      <c r="F79" s="81" t="inlineStr">
        <is>
          <t>RQ-B30</t>
        </is>
      </c>
      <c r="G79" s="81" t="inlineStr">
        <is>
          <t>[UNCONFIRMED] Check bấm 「トラブル」 từ Tab B (SPEC chưa định nghĩa).</t>
        </is>
      </c>
      <c r="H79" s="8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79" s="81" t="inlineStr">
        <is>
          <t>1. Mở Tab B
2. Bấm 「トラブル」</t>
        </is>
      </c>
      <c r="J79" s="81" t="inlineStr">
        <is>
          <t>Ghi nhận hành vi thực tế. Đích chưa được định nghĩa cho màn này.</t>
        </is>
      </c>
      <c r="K79" s="81" t="inlineStr">
        <is>
          <t>-</t>
        </is>
      </c>
      <c r="L79" s="81" t="inlineStr">
        <is>
          <t>Low</t>
        </is>
      </c>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inlineStr">
        <is>
          <t>TC-SHP-L2-079</t>
        </is>
      </c>
      <c r="C80" s="80" t="inlineStr">
        <is>
          <t>DA_LIST_002_ES / Kéo làm mới</t>
        </is>
      </c>
      <c r="D80" s="81" t="inlineStr">
        <is>
          <t>Mobile</t>
        </is>
      </c>
      <c r="E80" s="81" t="inlineStr">
        <is>
          <t>Medium</t>
        </is>
      </c>
      <c r="F80" s="81" t="inlineStr">
        <is>
          <t>OQ-10; AC-28</t>
        </is>
      </c>
      <c r="G80" s="81" t="inlineStr">
        <is>
          <t>Check kéo xuống để làm mới Tab B tải lại dữ liệu mà không cần tải lại trang.</t>
        </is>
      </c>
      <c r="H80" s="8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80" s="81" t="inlineStr">
        <is>
          <t>1. Mở màn
2. Admin đổi trạng thái một thẻ ở hệ thống khác
3. Kéo xuống từ đầu danh sách rồi thả</t>
        </is>
      </c>
      <c r="J80" s="81" t="inlineStr">
        <is>
          <t>Hiện chỉ báo làm mới, danh sách tải lại và hiển thị trạng thái mới. Không có polling hay WebSocket tự cập nhật trước khi kéo.</t>
        </is>
      </c>
      <c r="K80" s="81" t="inlineStr">
        <is>
          <t>Thẻ đổi trạng thái</t>
        </is>
      </c>
      <c r="L80" s="81" t="inlineStr">
        <is>
          <t>Medium</t>
        </is>
      </c>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inlineStr">
        <is>
          <t>TC-SHP-L2-080</t>
        </is>
      </c>
      <c r="C81" s="80" t="inlineStr">
        <is>
          <t>DA_LIST_002_ES / Bàn phím ảo khi nhập tìm kiếm</t>
        </is>
      </c>
      <c r="D81" s="81" t="inlineStr">
        <is>
          <t>Mobile</t>
        </is>
      </c>
      <c r="E81" s="81" t="inlineStr">
        <is>
          <t>Medium</t>
        </is>
      </c>
      <c r="F81" s="81" t="inlineStr">
        <is>
          <t>AC-31</t>
        </is>
      </c>
      <c r="G81" s="81" t="inlineStr">
        <is>
          <t>Check bàn phím ảo không che ô tìm kiếm khi đang nhập.</t>
        </is>
      </c>
      <c r="H81" s="8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81" s="81" t="inlineStr">
        <is>
          <t>1. Mở màn
2. Bấm vào ô tìm kiếm</t>
        </is>
      </c>
      <c r="J81" s="81" t="inlineStr">
        <is>
          <t>Bàn phím ảo hiện và ô tìm kiếm vẫn nhìn thấy được, chữ nhập hiển thị.</t>
        </is>
      </c>
      <c r="K81" s="81" t="inlineStr">
        <is>
          <t>-</t>
        </is>
      </c>
      <c r="L81" s="81" t="inlineStr">
        <is>
          <t>Medium</t>
        </is>
      </c>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inlineStr">
        <is>
          <t>TC-SHP-L2-081</t>
        </is>
      </c>
      <c r="C82" s="80" t="inlineStr">
        <is>
          <t>DA_LIST_002_ES / Xoay màn hình</t>
        </is>
      </c>
      <c r="D82" s="81" t="inlineStr">
        <is>
          <t>Mobile</t>
        </is>
      </c>
      <c r="E82" s="81" t="inlineStr">
        <is>
          <t>Low</t>
        </is>
      </c>
      <c r="F82" s="81" t="inlineStr">
        <is>
          <t>OQ-28</t>
        </is>
      </c>
      <c r="G82" s="81" t="inlineStr">
        <is>
          <t>Check xoay màn hình ngang rồi dọc không mất bộ lọc và không vỡ bố cục.</t>
        </is>
      </c>
      <c r="H82" s="8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82" s="81" t="inlineStr">
        <is>
          <t>1. Mở màn, chọn một bộ lọc và nhập từ khoá
2. Xoay ngang rồi xoay dọc lại</t>
        </is>
      </c>
      <c r="J82" s="81" t="inlineStr">
        <is>
          <t>Bộ lọc và từ khoá giữ nguyên, bố cục không bị vỡ hay chồng đè.</t>
        </is>
      </c>
      <c r="K82" s="81" t="inlineStr">
        <is>
          <t>-</t>
        </is>
      </c>
      <c r="L82" s="81" t="inlineStr">
        <is>
          <t>Low</t>
        </is>
      </c>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inlineStr">
        <is>
          <t>TC-SHP-L2-082</t>
        </is>
      </c>
      <c r="C83" s="80" t="inlineStr">
        <is>
          <t>DA_LIST_002_ES / Viewport 320px</t>
        </is>
      </c>
      <c r="D83" s="81" t="inlineStr">
        <is>
          <t>Mobile</t>
        </is>
      </c>
      <c r="E83" s="81" t="inlineStr">
        <is>
          <t>Medium</t>
        </is>
      </c>
      <c r="F83" s="81" t="inlineStr">
        <is>
          <t>OQ-28</t>
        </is>
      </c>
      <c r="G83" s="81" t="inlineStr">
        <is>
          <t>Check bố cục hiển thị đúng ở chiều rộng 320px.</t>
        </is>
      </c>
      <c r="H83" s="8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83" s="81" t="inlineStr">
        <is>
          <t>1. Đặt viewport rộng 320px
2. Mở màn và cuộn toàn bộ danh sách</t>
        </is>
      </c>
      <c r="J83" s="81" t="inlineStr">
        <is>
          <t>Không có cuộn ngang, không bị cắt chữ ngoài quy tắc rút gọn, ô khoảng ngày, thanh tab, bộ lọc và bottom nav hiển thị đủ. Font không scale theo chiều rộng.</t>
        </is>
      </c>
      <c r="K83" s="81" t="inlineStr">
        <is>
          <t>320px</t>
        </is>
      </c>
      <c r="L83" s="81" t="inlineStr">
        <is>
          <t>Medium</t>
        </is>
      </c>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inlineStr">
        <is>
          <t>TC-SHP-L2-083</t>
        </is>
      </c>
      <c r="C84" s="80" t="inlineStr">
        <is>
          <t>DA_LIST_002_ES / Viewport 480px</t>
        </is>
      </c>
      <c r="D84" s="81" t="inlineStr">
        <is>
          <t>Mobile</t>
        </is>
      </c>
      <c r="E84" s="81" t="inlineStr">
        <is>
          <t>Medium</t>
        </is>
      </c>
      <c r="F84" s="81" t="inlineStr">
        <is>
          <t>OQ-28</t>
        </is>
      </c>
      <c r="G84" s="81" t="inlineStr">
        <is>
          <t>Check bố cục hiển thị đúng ở chiều rộng 480px.</t>
        </is>
      </c>
      <c r="H84" s="8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84" s="81" t="inlineStr">
        <is>
          <t>1. Đặt viewport rộng 480px
2. Mở màn và cuộn toàn bộ danh sách</t>
        </is>
      </c>
      <c r="J84" s="81" t="inlineStr">
        <is>
          <t>Không có cuộn ngang, không bị cắt chữ ngoài quy tắc rút gọn, ô khoảng ngày, thanh tab, bộ lọc và bottom nav hiển thị đủ. Font không scale theo chiều rộng.</t>
        </is>
      </c>
      <c r="K84" s="81" t="inlineStr">
        <is>
          <t>480px</t>
        </is>
      </c>
      <c r="L84" s="81" t="inlineStr">
        <is>
          <t>Medium</t>
        </is>
      </c>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inlineStr">
        <is>
          <t>TC-SHP-L2-084</t>
        </is>
      </c>
      <c r="C85" s="80" t="inlineStr">
        <is>
          <t>DA_LIST_002_ES / Nút Back của trình duyệt</t>
        </is>
      </c>
      <c r="D85" s="81" t="inlineStr">
        <is>
          <t>Mobile</t>
        </is>
      </c>
      <c r="E85" s="81" t="inlineStr">
        <is>
          <t>Medium</t>
        </is>
      </c>
      <c r="F85" s="81" t="inlineStr">
        <is>
          <t>OQ-30</t>
        </is>
      </c>
      <c r="G85" s="81" t="inlineStr">
        <is>
          <t>[UNCONFIRMED] Check bấm nút Back của trình duyệt khi ở màn danh sách.</t>
        </is>
      </c>
      <c r="H85" s="8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85" s="81" t="inlineStr">
        <is>
          <t>1. Từ Home bấm tab 「配送一覧」
2. Bấm nút Back của trình duyệt</t>
        </is>
      </c>
      <c r="J85" s="81" t="inlineStr">
        <is>
          <t>Quay về màn trước (Home). Ghi nhận hành vi khi đã đổi tab (Back về tab trước hay về Home).</t>
        </is>
      </c>
      <c r="K85" s="81" t="inlineStr">
        <is>
          <t>-</t>
        </is>
      </c>
      <c r="L85" s="81" t="inlineStr">
        <is>
          <t>Medium</t>
        </is>
      </c>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inlineStr">
        <is>
          <t>TC-SHP-L2-085</t>
        </is>
      </c>
      <c r="C86" s="80" t="inlineStr">
        <is>
          <t>DA_LIST_002_ES / Tải lại trang F5</t>
        </is>
      </c>
      <c r="D86" s="81" t="inlineStr">
        <is>
          <t>Mobile</t>
        </is>
      </c>
      <c r="E86" s="81" t="inlineStr">
        <is>
          <t>Medium</t>
        </is>
      </c>
      <c r="F86" s="81" t="inlineStr">
        <is>
          <t>OQ-30</t>
        </is>
      </c>
      <c r="G86" s="81" t="inlineStr">
        <is>
          <t>[UNCONFIRMED] Check tải lại trang tại URL /deliveries.</t>
        </is>
      </c>
      <c r="H86" s="8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86" s="81" t="inlineStr">
        <is>
          <t>1. Mở màn tại URL /deliveries
2. Chọn một bộ lọc rồi tải lại trang</t>
        </is>
      </c>
      <c r="J86" s="81" t="inlineStr">
        <is>
          <t>Trang tải lại đúng màn danh sách, giữ đăng nhập, khoảng ngày về mặc định 2026-10-08 đến 2026-10-15. Ghi nhận tab được chọn sau khi tải lại.</t>
        </is>
      </c>
      <c r="K86" s="81" t="inlineStr">
        <is>
          <t>/deliveries</t>
        </is>
      </c>
      <c r="L86" s="81" t="inlineStr">
        <is>
          <t>Medium</t>
        </is>
      </c>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inlineStr">
        <is>
          <t>TC-SHP-L2-086</t>
        </is>
      </c>
      <c r="C87" s="80" t="inlineStr">
        <is>
          <t>DA_LIST_002_ES / Mất mạng khi tải danh sách</t>
        </is>
      </c>
      <c r="D87" s="81" t="inlineStr">
        <is>
          <t>Negative</t>
        </is>
      </c>
      <c r="E87" s="81" t="inlineStr">
        <is>
          <t>High</t>
        </is>
      </c>
      <c r="F87" s="81" t="inlineStr">
        <is>
          <t>COMMON_ENV_004; OQ-08</t>
        </is>
      </c>
      <c r="G87" s="81" t="inlineStr">
        <is>
          <t>[UNCONFIRMED] Check hiển thị khi mất mạng lúc tải danh sách.</t>
        </is>
      </c>
      <c r="H87" s="8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87" s="81" t="inlineStr">
        <is>
          <t>1. Mở màn
2. Tắt kết nối mạng của thiết bị
3. Đổi 終了日 để tải lại danh sách</t>
        </is>
      </c>
      <c r="J87" s="81" t="inlineStr">
        <is>
          <t>Hiển thị thông báo COMMON_ENV_004 (câu chữ chưa chốt), cho phép thử lại, không crash màn.</t>
        </is>
      </c>
      <c r="K87" s="81" t="inlineStr">
        <is>
          <t>-</t>
        </is>
      </c>
      <c r="L87" s="81" t="inlineStr">
        <is>
          <t>High</t>
        </is>
      </c>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inlineStr">
        <is>
          <t>TC-SHP-L2-087</t>
        </is>
      </c>
      <c r="C88" s="75" t="inlineStr">
        <is>
          <t>DA_LIST_002_ES / Lỗi server 5xx khi tải danh sách</t>
        </is>
      </c>
      <c r="D88" s="81" t="inlineStr">
        <is>
          <t>Negative</t>
        </is>
      </c>
      <c r="E88" s="81" t="inlineStr">
        <is>
          <t>High</t>
        </is>
      </c>
      <c r="F88" s="81" t="inlineStr">
        <is>
          <t>COMMON_SYS_006; OQ-08</t>
        </is>
      </c>
      <c r="G88" s="75" t="inlineStr">
        <is>
          <t>[UNCONFIRMED] Check hiển thị khi API danh sách trả lỗi 500.</t>
        </is>
      </c>
      <c r="H88" s="8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88" s="75" t="inlineStr">
        <is>
          <t>1. Mở màn
2. Giả lập API danh sách trả HTTP 500
3. Đổi 終了日 để tải lại danh sách</t>
        </is>
      </c>
      <c r="J88" s="75" t="inlineStr">
        <is>
          <t>Hiển thị thông báo COMMON_SYS_006 (câu chữ chưa chốt), giữ bộ lọc đang chọn, cho phép thử lại.</t>
        </is>
      </c>
      <c r="K88" s="75" t="inlineStr">
        <is>
          <t>-</t>
        </is>
      </c>
      <c r="L88" s="75" t="inlineStr">
        <is>
          <t>High</t>
        </is>
      </c>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inlineStr">
        <is>
          <t>TC-SHP-L2-088</t>
        </is>
      </c>
      <c r="C89" s="75" t="inlineStr">
        <is>
          <t>DA_LIST_002_ES / Session hết hạn khi tải danh sách</t>
        </is>
      </c>
      <c r="D89" s="81" t="inlineStr">
        <is>
          <t>Negative</t>
        </is>
      </c>
      <c r="E89" s="81" t="inlineStr">
        <is>
          <t>High</t>
        </is>
      </c>
      <c r="F89" s="81" t="inlineStr">
        <is>
          <t>COMMON_SYS_007; OQ-09</t>
        </is>
      </c>
      <c r="G89" s="75" t="inlineStr">
        <is>
          <t>[UNCONFIRMED] Check hiển thị khi session hết hạn lúc tải danh sách.</t>
        </is>
      </c>
      <c r="H89" s="8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89" s="75" t="inlineStr">
        <is>
          <t>1. Mở màn
2. Xóa session hợp lệ của tài xế
3. Đổi 終了日 để tải lại danh sách</t>
        </is>
      </c>
      <c r="J89" s="75" t="inlineStr">
        <is>
          <t>Hiển thị thông báo COMMON_SYS_007 (câu chữ chưa chốt) và đưa về màn đăng nhập DA_AUTHEN_001.</t>
        </is>
      </c>
      <c r="K89" s="75" t="inlineStr">
        <is>
          <t>-</t>
        </is>
      </c>
      <c r="L89" s="75" t="inlineStr">
        <is>
          <t>High</t>
        </is>
      </c>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inlineStr">
        <is>
          <t>TC-SHP-L2-089</t>
        </is>
      </c>
      <c r="C90" s="75" t="inlineStr">
        <is>
          <t>DA_LIST_002_ES / Truy cập URL khi chưa đăng nhập</t>
        </is>
      </c>
      <c r="D90" s="81" t="inlineStr">
        <is>
          <t>Security</t>
        </is>
      </c>
      <c r="E90" s="81" t="inlineStr">
        <is>
          <t>High</t>
        </is>
      </c>
      <c r="F90" s="81" t="inlineStr">
        <is>
          <t>OQ-30; OQ-09</t>
        </is>
      </c>
      <c r="G90" s="75" t="inlineStr">
        <is>
          <t>Check mở trực tiếp URL /deliveries khi chưa đăng nhập.</t>
        </is>
      </c>
      <c r="H90" s="81" t="inlineStr">
        <is>
          <t>Chưa đăng nhập, trình duyệt không có session.</t>
        </is>
      </c>
      <c r="I90" s="75" t="inlineStr">
        <is>
          <t>1. Mở trực tiếp URL /deliveries</t>
        </is>
      </c>
      <c r="J90" s="75" t="inlineStr">
        <is>
          <t>Không thấy dữ liệu danh sách, được chuyển về màn đăng nhập DA_AUTHEN_001.</t>
        </is>
      </c>
      <c r="K90" s="75" t="inlineStr">
        <is>
          <t>/deliveries</t>
        </is>
      </c>
      <c r="L90" s="75" t="inlineStr">
        <is>
          <t>High</t>
        </is>
      </c>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inlineStr">
        <is>
          <t>TC-SHP-L2-090</t>
        </is>
      </c>
      <c r="C91" s="75" t="inlineStr">
        <is>
          <t>DA_LIST_002_ES / Dữ liệu đổi bởi admin khi đang xem</t>
        </is>
      </c>
      <c r="D91" s="81" t="inlineStr">
        <is>
          <t>Negative</t>
        </is>
      </c>
      <c r="E91" s="81" t="inlineStr">
        <is>
          <t>Low</t>
        </is>
      </c>
      <c r="F91" s="81" t="inlineStr">
        <is>
          <t>OQ-10</t>
        </is>
      </c>
      <c r="G91" s="75" t="inlineStr">
        <is>
          <t>[UNCONFIRMED] Check trạng thái thẻ không tự cập nhật khi admin đổi dữ liệu lúc tài xế đang xem.</t>
        </is>
      </c>
      <c r="H91" s="81" t="inlineStr">
        <is>
          <t>Tài xế DR00001 đã đăng nhập Mobile Web E06 (Safari iOS hoặc Chrome Android, viewport 390×844). Ngày hệ thống test cố định là 2026-10-08（木）. Đang ở Tab B 「未配送」, seed có thẻ ES配送便 và COOL便 trạng thái 未配送 và トラブル trong khoảng 2026-10-08 đến 2026-10-15.</t>
        </is>
      </c>
      <c r="I91" s="75" t="inlineStr">
        <is>
          <t>1. Mở màn và ghi lại trạng thái một thẻ
2. Admin đổi trạng thái thẻ đó
3. Chờ 60 giây không thao tác</t>
        </is>
      </c>
      <c r="J91" s="75" t="inlineStr">
        <is>
          <t>Danh sách không tự cập nhật (không polling). Chỉ cập nhật sau khi kéo làm mới hoặc tải lại. Xung đột không có thông báo riêng.</t>
        </is>
      </c>
      <c r="K91" s="75" t="inlineStr">
        <is>
          <t>-</t>
        </is>
      </c>
      <c r="L91" s="75" t="inlineStr">
        <is>
          <t>Low</t>
        </is>
      </c>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TC-SHP-L3-001</t>
        </is>
      </c>
      <c r="C2" s="63" t="inlineStr">
        <is>
          <t>DA_LIST_003_COOL / Tổng thể màn hình</t>
        </is>
      </c>
      <c r="D2" s="71" t="inlineStr">
        <is>
          <t>UI</t>
        </is>
      </c>
      <c r="E2" s="71" t="inlineStr">
        <is>
          <t>Medium</t>
        </is>
      </c>
      <c r="F2" s="71" t="inlineStr">
        <is>
          <t>BD:DA_LIST_003_COOL_ListDone; AC-28</t>
        </is>
      </c>
      <c r="G2" s="63" t="inlineStr">
        <is>
          <t>[UI Visual] Check bố cục tổng thể màn Tab C 「配送完了」 khớp ảnh Figma node 20297:179763.</t>
        </is>
      </c>
      <c r="H2" s="71"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2" s="71" t="inlineStr">
        <is>
          <t>1. Mở màn 配送一覧 và chọn tab 「配送完了」
2. Quan sát toàn bộ màn từ trên xuống</t>
        </is>
      </c>
      <c r="J2" s="70" t="inlineStr">
        <is>
          <t>Từ trên xuống dưới: ảnh header ESSTATION kèm chuông, tiêu đề 「配送一覧」 cùng ô khoảng ngày, thanh tab (tab 「配送完了」 đang chọn), nút lọc 「倉庫・中継」, ô tìm kiếm placeholder 「納品先拠点名・住所」, danh sách thẻ có icon loại giao, tên điểm giao, ngày, tên kho kèm icon kho, địa chỉ, thống kê, bottom nav 5 tab.</t>
        </is>
      </c>
      <c r="K2" s="70" t="inlineStr">
        <is>
          <t>-</t>
        </is>
      </c>
      <c r="L2" s="70" t="inlineStr">
        <is>
          <t>Medium</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TC-SHP-L3-002</t>
        </is>
      </c>
      <c r="C3" s="63" t="inlineStr">
        <is>
          <t>DA_LIST_003_COOL / Tiêu đề header</t>
        </is>
      </c>
      <c r="D3" s="63" t="inlineStr">
        <is>
          <t>UI</t>
        </is>
      </c>
      <c r="E3" s="63" t="inlineStr">
        <is>
          <t>Low</t>
        </is>
      </c>
      <c r="F3" s="63" t="inlineStr">
        <is>
          <t>BD:DA_LIST_003_COOL_ListDone</t>
        </is>
      </c>
      <c r="G3" s="63" t="inlineStr">
        <is>
          <t>Check tiêu đề màn hiển thị đúng chữ 「配送一覧」.</t>
        </is>
      </c>
      <c r="H3" s="71"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3" s="71" t="inlineStr">
        <is>
          <t>1. Mở tab 「配送完了」</t>
        </is>
      </c>
      <c r="J3" s="70" t="inlineStr">
        <is>
          <t>Tiêu đề hiển thị 「配送一覧」.</t>
        </is>
      </c>
      <c r="K3" s="70" t="inlineStr">
        <is>
          <t>-</t>
        </is>
      </c>
      <c r="L3" s="70" t="inlineStr">
        <is>
          <t>Low</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TC-SHP-L3-003</t>
        </is>
      </c>
      <c r="C4" s="71" t="inlineStr">
        <is>
          <t>DA_LIST_003_COOL / Date picker 開始日 giá trị mặc định</t>
        </is>
      </c>
      <c r="D4" s="63" t="inlineStr">
        <is>
          <t>UI</t>
        </is>
      </c>
      <c r="E4" s="63" t="inlineStr">
        <is>
          <t>Medium</t>
        </is>
      </c>
      <c r="F4" s="63" t="inlineStr">
        <is>
          <t>AC-28; RQ-C03</t>
        </is>
      </c>
      <c r="G4" s="63" t="inlineStr">
        <is>
          <t>Check giá trị mặc định của 開始日 khi mở Tab C 「配送完了」 là ngày hôm nay.</t>
        </is>
      </c>
      <c r="H4" s="63"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4" s="71" t="inlineStr">
        <is>
          <t>1. Mở màn 配送一覧 bằng bottom nav 「配送一覧」 rồi chọn tab Tab C 「配送完了」
2. Quan sát vùng chọn khoảng ngày dưới tiêu đề 「配送一覧」 (vùng 1.1)</t>
        </is>
      </c>
      <c r="J4" s="70" t="inlineStr">
        <is>
          <t>開始日 hiển thị 2026-10-08 (ngày hệ thống hôm nay).</t>
        </is>
      </c>
      <c r="K4" s="70" t="inlineStr">
        <is>
          <t>Hôm nay 2026-10-08</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TC-SHP-L3-004</t>
        </is>
      </c>
      <c r="C5" s="71" t="inlineStr">
        <is>
          <t>DA_LIST_003_COOL / Date picker 終了日 giá trị mặc định</t>
        </is>
      </c>
      <c r="D5" s="63" t="inlineStr">
        <is>
          <t>UI</t>
        </is>
      </c>
      <c r="E5" s="63" t="inlineStr">
        <is>
          <t>Medium</t>
        </is>
      </c>
      <c r="F5" s="63" t="inlineStr">
        <is>
          <t>AC-28; RQ-C03</t>
        </is>
      </c>
      <c r="G5" s="63" t="inlineStr">
        <is>
          <t>Check giá trị mặc định của 終了日 khi mở Tab C 「配送完了」 là hôm nay cộng 7 ngày.</t>
        </is>
      </c>
      <c r="H5" s="71"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5" s="71" t="inlineStr">
        <is>
          <t>1. Mở màn 配送一覧 rồi chọn tab Tab C 「配送完了」
2. Quan sát vùng chọn khoảng ngày (vùng 1.2)</t>
        </is>
      </c>
      <c r="J5" s="70" t="inlineStr">
        <is>
          <t>終了日 hiển thị 2026-10-15. Khoảng ngày hiển thị 2026-10-08 đến 2026-10-15.</t>
        </is>
      </c>
      <c r="K5" s="70" t="inlineStr">
        <is>
          <t>Hôm nay 2026-10-08</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TC-SHP-L3-005</t>
        </is>
      </c>
      <c r="C6" s="71" t="inlineStr">
        <is>
          <t>DA_LIST_003_COOL / Date picker 開始日 / 終了日 hiển thị khoảng</t>
        </is>
      </c>
      <c r="D6" s="63" t="inlineStr">
        <is>
          <t>UI</t>
        </is>
      </c>
      <c r="E6" s="63" t="inlineStr">
        <is>
          <t>Low</t>
        </is>
      </c>
      <c r="F6" s="63" t="inlineStr">
        <is>
          <t>BD:DA_LIST_003_COOL_ListDone; AC-28</t>
        </is>
      </c>
      <c r="G6" s="63" t="inlineStr">
        <is>
          <t>[UNCONFIRMED] [UI Visual] Check định dạng hiển thị khoảng ngày trên Figma (một ô có icon lịch) so với Basic Design (hai date picker riêng).</t>
        </is>
      </c>
      <c r="H6" s="71"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6" s="71" t="inlineStr">
        <is>
          <t>1. Mở màn 配送一覧
2. Đối chiếu ô khoảng ngày với Figma và Basic Design mục 1.1, 1.2</t>
        </is>
      </c>
      <c r="J6" s="70" t="inlineStr">
        <is>
          <t>Figma hiển thị một ô 「2026-6-12〜2026-6-19」 có icon lịch (ngày không đệm số 0 ở tháng và ngày). Basic Design mô tả hai date picker 開始日 và 終了日. Ghi nhận khác biệt định dạng để BA/FE xác nhận.</t>
        </is>
      </c>
      <c r="K6" s="70" t="inlineStr">
        <is>
          <t>-</t>
        </is>
      </c>
      <c r="L6" s="70" t="inlineStr">
        <is>
          <t>Low</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TC-SHP-L3-006</t>
        </is>
      </c>
      <c r="C7" s="71" t="inlineStr">
        <is>
          <t>DA_LIST_003_COOL / Date picker 開始日 chọn ngày quá khứ</t>
        </is>
      </c>
      <c r="D7" s="63" t="inlineStr">
        <is>
          <t>Behavior</t>
        </is>
      </c>
      <c r="E7" s="63" t="inlineStr">
        <is>
          <t>Medium</t>
        </is>
      </c>
      <c r="F7" s="63" t="inlineStr">
        <is>
          <t>AC-28; RQ-C03</t>
        </is>
      </c>
      <c r="G7" s="63" t="inlineStr">
        <is>
          <t>Check chọn được 開始日 là ngày trong quá khứ và danh sách lọc lại theo khoảng mới.</t>
        </is>
      </c>
      <c r="H7" s="63"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7" s="71" t="inlineStr">
        <is>
          <t>1. Mở màn 配送一覧
2. Mở date picker 開始日
3. Chọn 2026-10-01</t>
        </is>
      </c>
      <c r="J7" s="70" t="inlineStr">
        <is>
          <t>開始日 hiển thị 2026-10-01, 終了日 giữ 2026-10-15, không hiện lỗi, danh sách tải lại theo khoảng 2026-10-01 đến 2026-10-15.</t>
        </is>
      </c>
      <c r="K7" s="70" t="inlineStr">
        <is>
          <t>開始日 2026-10-01</t>
        </is>
      </c>
      <c r="L7" s="70" t="inlineStr">
        <is>
          <t>Medium</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TC-SHP-L3-007</t>
        </is>
      </c>
      <c r="C8" s="71" t="inlineStr">
        <is>
          <t>DA_LIST_003_COOL / Date picker 終了日 chọn ngày tương lai hợp lệ</t>
        </is>
      </c>
      <c r="D8" s="63" t="inlineStr">
        <is>
          <t>Behavior</t>
        </is>
      </c>
      <c r="E8" s="63" t="inlineStr">
        <is>
          <t>Medium</t>
        </is>
      </c>
      <c r="F8" s="63" t="inlineStr">
        <is>
          <t>AC-28; AC-29; RQ-C03</t>
        </is>
      </c>
      <c r="G8" s="63" t="inlineStr">
        <is>
          <t>Check chọn được 終了日 là ngày tương lai trong giới hạn 31 ngày và danh sách lọc lại.</t>
        </is>
      </c>
      <c r="H8" s="71"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8" s="71" t="inlineStr">
        <is>
          <t>1. Mở màn 配送一覧
2. Mở date picker 終了日
3. Chọn 2026-10-20</t>
        </is>
      </c>
      <c r="J8" s="70" t="inlineStr">
        <is>
          <t>終了日 hiển thị 2026-10-20, không hiện lỗi, danh sách tải lại theo khoảng 2026-10-08 đến 2026-10-20.</t>
        </is>
      </c>
      <c r="K8" s="70" t="inlineStr">
        <is>
          <t>終了日 2026-10-20</t>
        </is>
      </c>
      <c r="L8" s="70" t="inlineStr">
        <is>
          <t>Medium</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TC-SHP-L3-008</t>
        </is>
      </c>
      <c r="C9" s="71" t="inlineStr">
        <is>
          <t>DA_LIST_003_COOL / Date picker 終了日 trùng 開始日 (biên)</t>
        </is>
      </c>
      <c r="D9" s="63" t="inlineStr">
        <is>
          <t>Validate</t>
        </is>
      </c>
      <c r="E9" s="63" t="inlineStr">
        <is>
          <t>Medium</t>
        </is>
      </c>
      <c r="F9" s="63" t="inlineStr">
        <is>
          <t>AC-29; RQ-C04</t>
        </is>
      </c>
      <c r="G9" s="63" t="inlineStr">
        <is>
          <t>Check chọn 終了日 bằng đúng 開始日 được chấp nhận vì ràng buộc là 終了日 lớn hơn hoặc bằng 開始日.</t>
        </is>
      </c>
      <c r="H9" s="71"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9" s="63" t="inlineStr">
        <is>
          <t>1. Mở màn 配送一覧
2. Mở date picker 終了日
3. Chọn 2026-10-08</t>
        </is>
      </c>
      <c r="J9" s="70" t="inlineStr">
        <is>
          <t>Không hiện thông báo lỗi. Khoảng ngày 2026-10-08 đến 2026-10-08, danh sách chỉ gồm bản ghi ngày 2026-10-08.</t>
        </is>
      </c>
      <c r="K9" s="70" t="inlineStr">
        <is>
          <t>開始日 2026-10-08, 終了日 2026-10-08</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TC-SHP-L3-009</t>
        </is>
      </c>
      <c r="C10" s="71" t="inlineStr">
        <is>
          <t>DA_LIST_003_COOL / Date picker 終了日 sớm hơn 開始日 1 ngày</t>
        </is>
      </c>
      <c r="D10" s="63" t="inlineStr">
        <is>
          <t>Validate</t>
        </is>
      </c>
      <c r="E10" s="63" t="inlineStr">
        <is>
          <t>High</t>
        </is>
      </c>
      <c r="F10" s="63" t="inlineStr">
        <is>
          <t>AC-29; RQ-C04; E_DALIST003COOL_001</t>
        </is>
      </c>
      <c r="G10" s="63" t="inlineStr">
        <is>
          <t>Check chọn 終了日 trước 開始日 một ngày thì hiện đúng thông báo lỗi ①.</t>
        </is>
      </c>
      <c r="H10" s="71"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10" s="63" t="inlineStr">
        <is>
          <t>1. Mở màn 配送一覧
2. Mở date picker 終了日
3. Chọn 2026-10-07</t>
        </is>
      </c>
      <c r="J10" s="70" t="inlineStr">
        <is>
          <t>Hiện lỗi inline nguyên văn 「終了日は開始日以降を選択してください。」 (mã E_DALIST003COOL_001). Người dùng vẫn ở màn 配送一覧.</t>
        </is>
      </c>
      <c r="K10" s="70" t="inlineStr">
        <is>
          <t>終了日 2026-10-07, 開始日 2026-10-08</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TC-SHP-L3-010</t>
        </is>
      </c>
      <c r="C11" s="71" t="inlineStr">
        <is>
          <t>DA_LIST_003_COOL / Date picker 終了日 cách 開始日 đúng 31 ngày (biên)</t>
        </is>
      </c>
      <c r="D11" s="63" t="inlineStr">
        <is>
          <t>Validate</t>
        </is>
      </c>
      <c r="E11" s="63" t="inlineStr">
        <is>
          <t>High</t>
        </is>
      </c>
      <c r="F11" s="63" t="inlineStr">
        <is>
          <t>AC-29; RQ-C04</t>
        </is>
      </c>
      <c r="G11" s="63" t="inlineStr">
        <is>
          <t>Check chọn 終了日 cách 開始日 đúng 31 ngày vẫn được chấp nhận.</t>
        </is>
      </c>
      <c r="H11" s="71"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11" s="63" t="inlineStr">
        <is>
          <t>1. Mở màn 配送一覧
2. Mở date picker 終了日
3. Chọn 2026-11-08 (開始日 2026-10-08 cộng 31 ngày)</t>
        </is>
      </c>
      <c r="J11" s="70" t="inlineStr">
        <is>
          <t>Không hiện thông báo lỗi. Danh sách tải lại theo khoảng 2026-10-08 đến 2026-11-08.</t>
        </is>
      </c>
      <c r="K11" s="70" t="inlineStr">
        <is>
          <t>終了日 2026-11-08（日）</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TC-SHP-L3-011</t>
        </is>
      </c>
      <c r="C12" s="71" t="inlineStr">
        <is>
          <t>DA_LIST_003_COOL / Date picker 終了日 cách 開始日 32 ngày (biên)</t>
        </is>
      </c>
      <c r="D12" s="63" t="inlineStr">
        <is>
          <t>Validate</t>
        </is>
      </c>
      <c r="E12" s="63" t="inlineStr">
        <is>
          <t>High</t>
        </is>
      </c>
      <c r="F12" s="63" t="inlineStr">
        <is>
          <t>AC-29; RQ-C04; E_DALIST003COOL_002</t>
        </is>
      </c>
      <c r="G12" s="63" t="inlineStr">
        <is>
          <t>Check chọn 終了日 cách 開始日 32 ngày thì hiện đúng thông báo lỗi ②.</t>
        </is>
      </c>
      <c r="H12" s="71"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12" s="63" t="inlineStr">
        <is>
          <t>1. Mở màn 配送一覧
2. Mở date picker 終了日
3. Chọn 2026-11-09 (開始日 2026-10-08 cộng 32 ngày)</t>
        </is>
      </c>
      <c r="J12" s="70" t="inlineStr">
        <is>
          <t>Hiện lỗi inline nguyên văn 「期間は1ヶ月以内で選択してください。」 (mã E_DALIST003COOL_002). Người dùng vẫn ở màn 配送一覧.</t>
        </is>
      </c>
      <c r="K12" s="70" t="inlineStr">
        <is>
          <t>終了日 2026-11-09（月）</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TC-SHP-L3-012</t>
        </is>
      </c>
      <c r="C13" s="71" t="inlineStr">
        <is>
          <t>DA_LIST_003_COOL / Date picker 開始日 sau 終了日</t>
        </is>
      </c>
      <c r="D13" s="63" t="inlineStr">
        <is>
          <t>Validate</t>
        </is>
      </c>
      <c r="E13" s="63" t="inlineStr">
        <is>
          <t>Medium</t>
        </is>
      </c>
      <c r="F13" s="63" t="inlineStr">
        <is>
          <t>AC-29; RQ-C04; E_DALIST003COOL_001</t>
        </is>
      </c>
      <c r="G13" s="63" t="inlineStr">
        <is>
          <t>[UNCONFIRMED] Check chọn 開始日 muộn hơn 終了日 hiện thông báo lỗi ① (Basic Design item 2 nêu lỗi này cho 開始日 nhưng SPEC chỉ ghi lỗi gắn với 終了日).</t>
        </is>
      </c>
      <c r="H13" s="71"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13" s="63" t="inlineStr">
        <is>
          <t>1. Mở màn 配送一覧
2. Mở date picker 開始日
3. Chọn 2026-10-20 (muộn hơn 終了日 2026-10-15)</t>
        </is>
      </c>
      <c r="J13" s="70" t="inlineStr">
        <is>
          <t>Hiện lỗi 「終了日は開始日以降を選択してください。」. Vị trí hiển thị lỗi (dưới 開始日 hay 終了日) và việc giữ hay hoàn lại giá trị cần BA xác nhận.</t>
        </is>
      </c>
      <c r="K13" s="70" t="inlineStr">
        <is>
          <t>開始日 2026-10-20</t>
        </is>
      </c>
      <c r="L13" s="70" t="inlineStr">
        <is>
          <t>Medium</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TC-SHP-L3-013</t>
        </is>
      </c>
      <c r="C14" s="71" t="inlineStr">
        <is>
          <t>DA_LIST_003_COOL / Date picker 開始日 làm khoảng vượt 31 ngày</t>
        </is>
      </c>
      <c r="D14" s="63" t="inlineStr">
        <is>
          <t>Validate</t>
        </is>
      </c>
      <c r="E14" s="63" t="inlineStr">
        <is>
          <t>Medium</t>
        </is>
      </c>
      <c r="F14" s="63" t="inlineStr">
        <is>
          <t>AC-29; RQ-C04; E_DALIST003COOL_002</t>
        </is>
      </c>
      <c r="G14" s="63" t="inlineStr">
        <is>
          <t>[UNCONFIRMED] Check chọn 開始日 sớm khiến khoảng vượt 31 ngày thì hiện thông báo lỗi ②.</t>
        </is>
      </c>
      <c r="H14" s="71"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14" s="63" t="inlineStr">
        <is>
          <t>1. Mở màn 配送一覧
2. Mở date picker 開始日
3. Chọn 2026-09-01 (cách 終了日 2026-10-15 là 44 ngày)</t>
        </is>
      </c>
      <c r="J14" s="70" t="inlineStr">
        <is>
          <t>Hiện lỗi 「期間は1ヶ月以内で選択してください。」. Vị trí hiển thị lỗi và giá trị sau lỗi cần BA xác nhận.</t>
        </is>
      </c>
      <c r="K14" s="70" t="inlineStr">
        <is>
          <t>開始日 2026-09-01</t>
        </is>
      </c>
      <c r="L14" s="70" t="inlineStr">
        <is>
          <t>Medium</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TC-SHP-L3-014</t>
        </is>
      </c>
      <c r="C15" s="71" t="inlineStr">
        <is>
          <t>DA_LIST_003_COOL / Thông báo lỗi ngày — dạng hiển thị Inline</t>
        </is>
      </c>
      <c r="D15" s="63" t="inlineStr">
        <is>
          <t>UI</t>
        </is>
      </c>
      <c r="E15" s="63" t="inlineStr">
        <is>
          <t>Medium</t>
        </is>
      </c>
      <c r="F15" s="63" t="inlineStr">
        <is>
          <t>AC-29; E_DALIST003COOL_001</t>
        </is>
      </c>
      <c r="G15" s="63" t="inlineStr">
        <is>
          <t>[UNCONFIRMED] Check thông báo lỗi ngày hiển thị dạng inline trên màn, không phải toast hay modal.</t>
        </is>
      </c>
      <c r="H15" s="71"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15" s="63" t="inlineStr">
        <is>
          <t>1. Mở màn 配送一覧
2. Chọn 終了日 2026-10-07
3. Quan sát khu vực khoảng ngày</t>
        </is>
      </c>
      <c r="J15" s="70" t="inlineStr">
        <is>
          <t>Dòng lỗi 「終了日は開始日以降を選択してください。」 hiện inline gần khoảng ngày; không có toast, modal hay chuyển màn.</t>
        </is>
      </c>
      <c r="K15" s="70" t="inlineStr">
        <is>
          <t>終了日 2026-10-07</t>
        </is>
      </c>
      <c r="L15" s="70" t="inlineStr">
        <is>
          <t>Medium</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TC-SHP-L3-015</t>
        </is>
      </c>
      <c r="C16" s="71" t="inlineStr">
        <is>
          <t>DA_LIST_003_COOL / Thông báo lỗi ngày — danh sách khi đang lỗi</t>
        </is>
      </c>
      <c r="D16" s="63" t="inlineStr">
        <is>
          <t>Behavior</t>
        </is>
      </c>
      <c r="E16" s="63" t="inlineStr">
        <is>
          <t>Medium</t>
        </is>
      </c>
      <c r="F16" s="63" t="inlineStr">
        <is>
          <t>AC-29; E_DALIST003COOL_001</t>
        </is>
      </c>
      <c r="G16" s="63" t="inlineStr">
        <is>
          <t>[UNCONFIRMED] Check danh sách thẻ không bị lọc theo khoảng ngày không hợp lệ khi đang hiện lỗi.</t>
        </is>
      </c>
      <c r="H16" s="63"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16" s="63" t="inlineStr">
        <is>
          <t>1. Mở màn 配送一覧 và ghi lại số thẻ đang hiển thị
2. Chọn 終了日 2026-10-07
3. Quan sát danh sách thẻ</t>
        </is>
      </c>
      <c r="J16" s="70" t="inlineStr">
        <is>
          <t>Danh sách không tải theo khoảng không hợp lệ (giữ khoảng hợp lệ trước đó hoặc theo quyết định BA). Không có thẻ nào thuộc khoảng 2026-10-08 đến 2026-10-07.</t>
        </is>
      </c>
      <c r="K16" s="70" t="inlineStr">
        <is>
          <t>終了日 2026-10-07</t>
        </is>
      </c>
      <c r="L16" s="70" t="inlineStr">
        <is>
          <t>Medium</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TC-SHP-L3-016</t>
        </is>
      </c>
      <c r="C17" s="71" t="inlineStr">
        <is>
          <t>DA_LIST_003_COOL / Thông báo lỗi ngày — tự mất khi sửa hợp lệ</t>
        </is>
      </c>
      <c r="D17" s="63" t="inlineStr">
        <is>
          <t>Behavior</t>
        </is>
      </c>
      <c r="E17" s="63" t="inlineStr">
        <is>
          <t>Medium</t>
        </is>
      </c>
      <c r="F17" s="63" t="inlineStr">
        <is>
          <t>AC-29; RQ-C04</t>
        </is>
      </c>
      <c r="G17" s="63" t="inlineStr">
        <is>
          <t>Check thông báo lỗi biến mất và danh sách tải lại khi người dùng sửa lại 終了日 hợp lệ.</t>
        </is>
      </c>
      <c r="H17" s="63"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17" s="63" t="inlineStr">
        <is>
          <t>1. Mở màn 配送一覧
2. Chọn 終了日 2026-10-07 để hiện lỗi
3. Chọn lại 終了日 2026-10-12</t>
        </is>
      </c>
      <c r="J17" s="70" t="inlineStr">
        <is>
          <t>Thông báo lỗi biến mất. Danh sách tải theo khoảng 2026-10-08 đến 2026-10-12.</t>
        </is>
      </c>
      <c r="K17" s="70" t="inlineStr">
        <is>
          <t>終了日 2026-10-07 rồi 2026-10-12</t>
        </is>
      </c>
      <c r="L17" s="70" t="inlineStr">
        <is>
          <t>Medium</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TC-SHP-L3-017</t>
        </is>
      </c>
      <c r="C18" s="71" t="inlineStr">
        <is>
          <t>DA_LIST_003_COOL / Tab bar trạng thái đang chọn</t>
        </is>
      </c>
      <c r="D18" s="63" t="inlineStr">
        <is>
          <t>UI</t>
        </is>
      </c>
      <c r="E18" s="63" t="inlineStr">
        <is>
          <t>High</t>
        </is>
      </c>
      <c r="F18" s="63" t="inlineStr">
        <is>
          <t>AC-28; RQ-C07</t>
        </is>
      </c>
      <c r="G18" s="63" t="inlineStr">
        <is>
          <t>Check tab 「配送完了」 ở trạng thái đang chọn khi vào màn.</t>
        </is>
      </c>
      <c r="H18" s="63"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18" s="63" t="inlineStr">
        <is>
          <t>1. Mở màn 配送一覧 rồi bấm tab 「配送完了」</t>
        </is>
      </c>
      <c r="J18" s="70" t="inlineStr">
        <is>
          <t>Tab 「配送完了」 ở trạng thái đang chọn (chữ xanh, gạch chân), hai tab còn lại không chọn.</t>
        </is>
      </c>
      <c r="K18" s="70" t="inlineStr">
        <is>
          <t>-</t>
        </is>
      </c>
      <c r="L18" s="70" t="inlineStr">
        <is>
          <t>High</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TC-SHP-L3-018</t>
        </is>
      </c>
      <c r="C19" s="71" t="inlineStr">
        <is>
          <t>DA_LIST_003_COOL / Tab bar chuyển sang Tab A</t>
        </is>
      </c>
      <c r="D19" s="63" t="inlineStr">
        <is>
          <t>Navigation</t>
        </is>
      </c>
      <c r="E19" s="63" t="inlineStr">
        <is>
          <t>High</t>
        </is>
      </c>
      <c r="F19" s="63" t="inlineStr">
        <is>
          <t>AC-28</t>
        </is>
      </c>
      <c r="G19" s="63" t="inlineStr">
        <is>
          <t>Check bấm tab 「倉庫受取」 chuyển sang màn Tab A.</t>
        </is>
      </c>
      <c r="H19" s="71"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19" s="63" t="inlineStr">
        <is>
          <t>1. Mở Tab C 「配送完了」
2. Bấm tab 「倉庫受取」</t>
        </is>
      </c>
      <c r="J19" s="70" t="inlineStr">
        <is>
          <t>Hiển thị màn DA_LIST_001_Kho.</t>
        </is>
      </c>
      <c r="K19" s="70" t="inlineStr">
        <is>
          <t>-</t>
        </is>
      </c>
      <c r="L19" s="70" t="inlineStr">
        <is>
          <t>High</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TC-SHP-L3-019</t>
        </is>
      </c>
      <c r="C20" s="71" t="inlineStr">
        <is>
          <t>DA_LIST_003_COOL / Tab bar chuyển sang Tab B</t>
        </is>
      </c>
      <c r="D20" s="63" t="inlineStr">
        <is>
          <t>Navigation</t>
        </is>
      </c>
      <c r="E20" s="63" t="inlineStr">
        <is>
          <t>High</t>
        </is>
      </c>
      <c r="F20" s="63" t="inlineStr">
        <is>
          <t>AC-28</t>
        </is>
      </c>
      <c r="G20" s="63" t="inlineStr">
        <is>
          <t>Check bấm tab 「未配送」 chuyển sang màn Tab B.</t>
        </is>
      </c>
      <c r="H20" s="71"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20" s="63" t="inlineStr">
        <is>
          <t>1. Mở Tab C 「配送完了」
2. Bấm tab 「未配送」</t>
        </is>
      </c>
      <c r="J20" s="70" t="inlineStr">
        <is>
          <t>Hiển thị màn DA_LIST_002_ES.</t>
        </is>
      </c>
      <c r="K20" s="70" t="inlineStr">
        <is>
          <t>-</t>
        </is>
      </c>
      <c r="L20" s="70" t="inlineStr">
        <is>
          <t>High</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TC-SHP-L3-020</t>
        </is>
      </c>
      <c r="C21" s="71" t="inlineStr">
        <is>
          <t>DA_LIST_003_COOL / Tab bar bấm lại tab đang chọn</t>
        </is>
      </c>
      <c r="D21" s="63" t="inlineStr">
        <is>
          <t>Navigation</t>
        </is>
      </c>
      <c r="E21" s="63" t="inlineStr">
        <is>
          <t>Low</t>
        </is>
      </c>
      <c r="F21" s="63" t="inlineStr">
        <is>
          <t>BD:DA_LIST_003_COOL_ListDone</t>
        </is>
      </c>
      <c r="G21" s="63" t="inlineStr">
        <is>
          <t>Check bấm lại tab đang chọn thì giữ nguyên màn.</t>
        </is>
      </c>
      <c r="H21" s="71"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21" s="63" t="inlineStr">
        <is>
          <t>1. Mở Tab C 「配送完了」
2. Bấm tab 「配送完了」</t>
        </is>
      </c>
      <c r="J21" s="70" t="inlineStr">
        <is>
          <t>Giữ nguyên màn hiện tại, bộ lọc không bị xóa.</t>
        </is>
      </c>
      <c r="K21" s="70" t="inlineStr">
        <is>
          <t>-</t>
        </is>
      </c>
      <c r="L21" s="70" t="inlineStr">
        <is>
          <t>Low</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TC-SHP-L3-021</t>
        </is>
      </c>
      <c r="C22" s="71" t="inlineStr">
        <is>
          <t>DA_LIST_003_COOL / Dropdown kho trung chuyển trạng thái mặc định</t>
        </is>
      </c>
      <c r="D22" s="63" t="inlineStr">
        <is>
          <t>UI</t>
        </is>
      </c>
      <c r="E22" s="63" t="inlineStr">
        <is>
          <t>Medium</t>
        </is>
      </c>
      <c r="F22" s="63" t="inlineStr">
        <is>
          <t>AC-30; RQ-C17</t>
        </is>
      </c>
      <c r="G22" s="63" t="inlineStr">
        <is>
          <t>Check dropdown kho và trung chuyển ở trạng thái chưa chọn, hiển thị tất cả thẻ.</t>
        </is>
      </c>
      <c r="H22" s="71"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22" s="63" t="inlineStr">
        <is>
          <t>1. Mở Tab C 「配送完了」
2. Quan sát nút lọc 「倉庫・中継」 và danh sách</t>
        </is>
      </c>
      <c r="J22" s="70" t="inlineStr">
        <is>
          <t>Nút lọc hiển thị nhãn 「倉庫・中継」 (chưa chọn). Danh sách gồm thẻ của mọi kho.</t>
        </is>
      </c>
      <c r="K22" s="70" t="inlineStr">
        <is>
          <t>-</t>
        </is>
      </c>
      <c r="L22" s="70" t="inlineStr">
        <is>
          <t>High</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TC-SHP-L3-022</t>
        </is>
      </c>
      <c r="C23" s="71" t="inlineStr">
        <is>
          <t>DA_LIST_003_COOL / Dropdown kho trung chuyển danh sách lấy từ master</t>
        </is>
      </c>
      <c r="D23" s="63" t="inlineStr">
        <is>
          <t>Behavior</t>
        </is>
      </c>
      <c r="E23" s="63" t="inlineStr">
        <is>
          <t>Medium</t>
        </is>
      </c>
      <c r="F23" s="63" t="inlineStr">
        <is>
          <t>AC-30; RQ-C17</t>
        </is>
      </c>
      <c r="G23" s="71" t="inlineStr">
        <is>
          <t>Check danh sách lựa chọn trong dropdown lấy từ master kho và trung chuyển.</t>
        </is>
      </c>
      <c r="H23" s="71"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23" s="71" t="inlineStr">
        <is>
          <t>1. Mở Tab C 「配送完了」
2. Bấm nút lọc 「倉庫・中継」</t>
        </is>
      </c>
      <c r="J23" s="70" t="inlineStr">
        <is>
          <t>Hiển thị danh sách kho và trung chuyển khớp master (ví dụ 「オージーフーズ倉庫」 và 「QC_中継センター東京」), có thể chọn nhiều mục.</t>
        </is>
      </c>
      <c r="K23" s="70" t="inlineStr">
        <is>
          <t>オージーフーズ倉庫, QC_中継センター東京</t>
        </is>
      </c>
      <c r="L23" s="70" t="inlineStr">
        <is>
          <t>Medium</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TC-SHP-L3-023</t>
        </is>
      </c>
      <c r="C24" s="71" t="inlineStr">
        <is>
          <t>DA_LIST_003_COOL / Dropdown kho trung chuyển chọn một mục</t>
        </is>
      </c>
      <c r="D24" s="71" t="inlineStr">
        <is>
          <t>Behavior</t>
        </is>
      </c>
      <c r="E24" s="71" t="inlineStr">
        <is>
          <t>High</t>
        </is>
      </c>
      <c r="F24" s="71" t="inlineStr">
        <is>
          <t>AC-30; RQ-C17</t>
        </is>
      </c>
      <c r="G24" s="71" t="inlineStr">
        <is>
          <t>Check chọn một kho thì danh sách chỉ còn thẻ đi qua kho đó.</t>
        </is>
      </c>
      <c r="H24" s="71"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24" s="71" t="inlineStr">
        <is>
          <t>1. Mở Tab C 「配送完了」
2. Bấm 「倉庫・中継」
3. Chọn 「オージーフーズ倉庫」</t>
        </is>
      </c>
      <c r="J24" s="70" t="inlineStr">
        <is>
          <t>Danh sách chỉ gồm thẻ có tên kho 「オージーフーズ倉庫」.</t>
        </is>
      </c>
      <c r="K24" s="70" t="inlineStr">
        <is>
          <t>オージーフーズ倉庫</t>
        </is>
      </c>
      <c r="L24" s="70" t="inlineStr">
        <is>
          <t>High</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TC-SHP-L3-024</t>
        </is>
      </c>
      <c r="C25" s="71" t="inlineStr">
        <is>
          <t>DA_LIST_003_COOL / Dropdown kho trung chuyển chọn nhiều mục</t>
        </is>
      </c>
      <c r="D25" s="71" t="inlineStr">
        <is>
          <t>Behavior</t>
        </is>
      </c>
      <c r="E25" s="71" t="inlineStr">
        <is>
          <t>High</t>
        </is>
      </c>
      <c r="F25" s="71" t="inlineStr">
        <is>
          <t>AC-30; RQ-C17</t>
        </is>
      </c>
      <c r="G25" s="71" t="inlineStr">
        <is>
          <t>Check chọn nhiều kho cùng lúc thì danh sách gồm thẻ của tất cả kho đã chọn.</t>
        </is>
      </c>
      <c r="H25" s="71"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25" s="71" t="inlineStr">
        <is>
          <t>1. Mở Tab C 「配送完了」
2. Bấm 「倉庫・中継」
3. Chọn 「オージーフーズ倉庫」 và 「QC_中継センター東京」</t>
        </is>
      </c>
      <c r="J25" s="70" t="inlineStr">
        <is>
          <t>Danh sách gồm thẻ của cả hai kho, không có thẻ của kho khác. Cả hai mục đều ở trạng thái đã chọn.</t>
        </is>
      </c>
      <c r="K25" s="70" t="inlineStr">
        <is>
          <t>オージーフーズ倉庫, QC_中継センター東京</t>
        </is>
      </c>
      <c r="L25" s="70" t="inlineStr">
        <is>
          <t>High</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TC-SHP-L3-025</t>
        </is>
      </c>
      <c r="C26" s="70" t="inlineStr">
        <is>
          <t>DA_LIST_003_COOL / Dropdown kho trung chuyển bỏ chọn</t>
        </is>
      </c>
      <c r="D26" s="70" t="inlineStr">
        <is>
          <t>Behavior</t>
        </is>
      </c>
      <c r="E26" s="70" t="inlineStr">
        <is>
          <t>Medium</t>
        </is>
      </c>
      <c r="F26" s="70" t="inlineStr">
        <is>
          <t>AC-30; RQ-C17</t>
        </is>
      </c>
      <c r="G26" s="70" t="inlineStr">
        <is>
          <t>Check bỏ toàn bộ lựa chọn thì danh sách hiển thị lại tất cả.</t>
        </is>
      </c>
      <c r="H26"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26" s="70" t="inlineStr">
        <is>
          <t>1. Mở Tab C 「配送完了」, chọn 「オージーフーズ倉庫」
2. Bỏ chọn 「オージーフーズ倉庫」</t>
        </is>
      </c>
      <c r="J26" s="70" t="inlineStr">
        <is>
          <t>Danh sách hiển thị lại thẻ của mọi kho, nút lọc về 「倉庫・中継」.</t>
        </is>
      </c>
      <c r="K26" s="70" t="inlineStr">
        <is>
          <t>オージーフーズ倉庫</t>
        </is>
      </c>
      <c r="L26" s="70" t="inlineStr">
        <is>
          <t>Medium</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TC-SHP-L3-026</t>
        </is>
      </c>
      <c r="C27" s="70" t="inlineStr">
        <is>
          <t>DA_LIST_003_COOL / Ô tìm kiếm trạng thái ban đầu</t>
        </is>
      </c>
      <c r="D27" s="70" t="inlineStr">
        <is>
          <t>UI</t>
        </is>
      </c>
      <c r="E27" s="70" t="inlineStr">
        <is>
          <t>Medium</t>
        </is>
      </c>
      <c r="F27" s="70" t="inlineStr">
        <is>
          <t>AC-31; RQ-C18</t>
        </is>
      </c>
      <c r="G27" s="70" t="inlineStr">
        <is>
          <t>Check ô tìm kiếm để trống và hiện placeholder cùng icon kính lúp.</t>
        </is>
      </c>
      <c r="H27"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27" s="70" t="inlineStr">
        <is>
          <t>1. Mở Tab C 「配送完了」
2. Quan sát ô tìm kiếm</t>
        </is>
      </c>
      <c r="J27" s="70" t="inlineStr">
        <is>
          <t>Ô trống, placeholder 「納品先拠点名・住所」, icon kính lúp bên phải.</t>
        </is>
      </c>
      <c r="K27" s="70" t="inlineStr">
        <is>
          <t>-</t>
        </is>
      </c>
      <c r="L27" s="70" t="inlineStr">
        <is>
          <t>Medium</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TC-SHP-L3-027</t>
        </is>
      </c>
      <c r="C28" s="70" t="inlineStr">
        <is>
          <t>DA_LIST_003_COOL / Ô tìm kiếm chỉ chạy khi bấm Enter</t>
        </is>
      </c>
      <c r="D28" s="70" t="inlineStr">
        <is>
          <t>Behavior</t>
        </is>
      </c>
      <c r="E28" s="70" t="inlineStr">
        <is>
          <t>High</t>
        </is>
      </c>
      <c r="F28" s="70" t="inlineStr">
        <is>
          <t>AC-31; RQ-C18</t>
        </is>
      </c>
      <c r="G28" s="75" t="inlineStr">
        <is>
          <t>Check gõ chữ vào ô tìm kiếm chưa lọc danh sách cho đến khi bấm Enter.</t>
        </is>
      </c>
      <c r="H28"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28" s="70" t="inlineStr">
        <is>
          <t>1. Mở Tab C 「配送完了」 và ghi lại số thẻ
2. Gõ 「大和インター」 vào ô tìm kiếm, chưa bấm Enter
3. Quan sát danh sách
4. Bấm Enter trên bàn phím ảo</t>
        </is>
      </c>
      <c r="J28" s="70" t="inlineStr">
        <is>
          <t>Trước khi bấm Enter danh sách giữ nguyên. Sau Enter danh sách chỉ còn thẻ có điểm giao hoặc địa chỉ chứa 「大和インター」.</t>
        </is>
      </c>
      <c r="K28" s="70" t="inlineStr">
        <is>
          <t>大和インター</t>
        </is>
      </c>
      <c r="L28" s="70" t="inlineStr">
        <is>
          <t>High</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TC-SHP-L3-028</t>
        </is>
      </c>
      <c r="C29" s="70" t="inlineStr">
        <is>
          <t>DA_LIST_003_COOL / Ô tìm kiếm khớp 納品先拠点名</t>
        </is>
      </c>
      <c r="D29" s="70" t="inlineStr">
        <is>
          <t>Behavior</t>
        </is>
      </c>
      <c r="E29" s="70" t="inlineStr">
        <is>
          <t>High</t>
        </is>
      </c>
      <c r="F29" s="70" t="inlineStr">
        <is>
          <t>AC-31; RQ-C18</t>
        </is>
      </c>
      <c r="G29" s="75" t="inlineStr">
        <is>
          <t>Check tìm kiếm theo tên điểm giao sau khi bấm Enter.</t>
        </is>
      </c>
      <c r="H29"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29" s="75" t="inlineStr">
        <is>
          <t>1. Mở Tab C 「配送完了」
2. Gõ 「大和インターナショナル」
3. Bấm Enter</t>
        </is>
      </c>
      <c r="J29" s="70" t="inlineStr">
        <is>
          <t>Danh sách chỉ còn thẻ có 納品先拠点名 chứa chuỗi vừa gõ.</t>
        </is>
      </c>
      <c r="K29" s="70" t="inlineStr">
        <is>
          <t>大和インターナショナル</t>
        </is>
      </c>
      <c r="L29" s="70" t="inlineStr">
        <is>
          <t>High</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TC-SHP-L3-029</t>
        </is>
      </c>
      <c r="C30" s="70" t="inlineStr">
        <is>
          <t>DA_LIST_003_COOL / Ô tìm kiếm khớp 住所</t>
        </is>
      </c>
      <c r="D30" s="70" t="inlineStr">
        <is>
          <t>Behavior</t>
        </is>
      </c>
      <c r="E30" s="70" t="inlineStr">
        <is>
          <t>High</t>
        </is>
      </c>
      <c r="F30" s="70" t="inlineStr">
        <is>
          <t>AC-31; RQ-C18</t>
        </is>
      </c>
      <c r="G30" s="75" t="inlineStr">
        <is>
          <t>Check tìm kiếm theo địa chỉ sau khi bấm Enter.</t>
        </is>
      </c>
      <c r="H30"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30" s="75" t="inlineStr">
        <is>
          <t>1. Mở Tab C 「配送完了」
2. Gõ 「渋谷区1-2-3」
3. Bấm Enter</t>
        </is>
      </c>
      <c r="J30" s="75" t="inlineStr">
        <is>
          <t>Danh sách chỉ còn thẻ có địa chỉ chứa 「渋谷区1-2-3」 (địa chỉ gồm tên tòa nhà・tầng・công ty・phòng ban).</t>
        </is>
      </c>
      <c r="K30" s="75" t="inlineStr">
        <is>
          <t>東京都渋谷区1-2-3</t>
        </is>
      </c>
      <c r="L30" s="75" t="inlineStr">
        <is>
          <t>High</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TC-SHP-L3-030</t>
        </is>
      </c>
      <c r="C31" s="74" t="inlineStr">
        <is>
          <t>DA_LIST_003_COOL / Ô tìm kiếm xóa chữ hiện lại toàn bộ</t>
        </is>
      </c>
      <c r="D31" s="70" t="inlineStr">
        <is>
          <t>Behavior</t>
        </is>
      </c>
      <c r="E31" s="70" t="inlineStr">
        <is>
          <t>High</t>
        </is>
      </c>
      <c r="F31" s="70" t="inlineStr">
        <is>
          <t>AC-31; RQ-C18</t>
        </is>
      </c>
      <c r="G31" s="70" t="inlineStr">
        <is>
          <t>Check xóa nội dung ô tìm kiếm thì danh sách hiện lại toàn bộ.</t>
        </is>
      </c>
      <c r="H31"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31" s="70" t="inlineStr">
        <is>
          <t>1. Mở Tab C 「配送完了」, gõ 「大和」 rồi bấm Enter
2. Xóa toàn bộ chữ trong ô tìm kiếm</t>
        </is>
      </c>
      <c r="J31" s="70" t="inlineStr">
        <is>
          <t>Danh sách hiển thị lại toàn bộ thẻ trong khoảng ngày hiện tại. Ghi nhận có cần bấm Enter sau khi xóa hay không (tài liệu ghi xóa input thì hiện lại).</t>
        </is>
      </c>
      <c r="K31" s="70" t="inlineStr">
        <is>
          <t>大和</t>
        </is>
      </c>
      <c r="L31" s="70" t="inlineStr">
        <is>
          <t>High</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TC-SHP-L3-031</t>
        </is>
      </c>
      <c r="C32" s="74" t="inlineStr">
        <is>
          <t>DA_LIST_003_COOL / Ô tìm kiếm không có kết quả</t>
        </is>
      </c>
      <c r="D32" s="70" t="inlineStr">
        <is>
          <t>Behavior</t>
        </is>
      </c>
      <c r="E32" s="70" t="inlineStr">
        <is>
          <t>Medium</t>
        </is>
      </c>
      <c r="F32" s="70" t="inlineStr">
        <is>
          <t>AC-31; RQ-C25; OQ-06</t>
        </is>
      </c>
      <c r="G32" s="70" t="inlineStr">
        <is>
          <t>[UNCONFIRMED] Check hiển thị khi từ khoá tìm kiếm không khớp thẻ nào.</t>
        </is>
      </c>
      <c r="H32"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32" s="70" t="inlineStr">
        <is>
          <t>1. Mở Tab C 「配送完了」
2. Gõ 「QC_該当なし999」
3. Bấm Enter</t>
        </is>
      </c>
      <c r="J32" s="70" t="inlineStr">
        <is>
          <t>Không có thẻ nào. Cần BA xác nhận có hiện empty state 「配送予定データはありません。」 hay vùng trống.</t>
        </is>
      </c>
      <c r="K32" s="70" t="inlineStr">
        <is>
          <t>QC_該当なし999</t>
        </is>
      </c>
      <c r="L32" s="70" t="inlineStr">
        <is>
          <t>Medium</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TC-SHP-L3-032</t>
        </is>
      </c>
      <c r="C33" s="74" t="inlineStr">
        <is>
          <t>DA_LIST_003_COOL / Ô tìm kiếm 255 ký tự (biên)</t>
        </is>
      </c>
      <c r="D33" s="70" t="inlineStr">
        <is>
          <t>Validate</t>
        </is>
      </c>
      <c r="E33" s="70" t="inlineStr">
        <is>
          <t>High</t>
        </is>
      </c>
      <c r="F33" s="70" t="inlineStr">
        <is>
          <t>AC-31; RQ-C18</t>
        </is>
      </c>
      <c r="G33" s="75" t="inlineStr">
        <is>
          <t>Check nhập đúng 255 ký tự vào ô tìm kiếm được chấp nhận.</t>
        </is>
      </c>
      <c r="H33"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33" s="75" t="inlineStr">
        <is>
          <t>1. Mở Tab C 「配送完了」
2. Dán chuỗi 255 ký tự `a`
3. Bấm Enter</t>
        </is>
      </c>
      <c r="J33" s="70" t="inlineStr">
        <is>
          <t>Ô giữ đủ 255 ký tự, không có thông báo lỗi, tìm kiếm chạy bình thường (không có kết quả).</t>
        </is>
      </c>
      <c r="K33" s="70" t="inlineStr">
        <is>
          <t>255 ký tự a</t>
        </is>
      </c>
      <c r="L33" s="70" t="inlineStr">
        <is>
          <t>High</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TC-SHP-L3-033</t>
        </is>
      </c>
      <c r="C34" s="74" t="inlineStr">
        <is>
          <t>DA_LIST_003_COOL / Ô tìm kiếm 256 ký tự (biên)</t>
        </is>
      </c>
      <c r="D34" s="70" t="inlineStr">
        <is>
          <t>Validate</t>
        </is>
      </c>
      <c r="E34" s="70" t="inlineStr">
        <is>
          <t>High</t>
        </is>
      </c>
      <c r="F34" s="70" t="inlineStr">
        <is>
          <t>AC-31; RQ-C18</t>
        </is>
      </c>
      <c r="G34" s="75" t="inlineStr">
        <is>
          <t>Check nhập 256 ký tự thì ô chặn ở 255 ký tự và không hiện thông báo lỗi.</t>
        </is>
      </c>
      <c r="H34"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34" s="75" t="inlineStr">
        <is>
          <t>1. Mở Tab C 「配送完了」
2. Dán chuỗi 256 ký tự `a`
3. Đếm số ký tự còn lại trong ô</t>
        </is>
      </c>
      <c r="J34" s="70" t="inlineStr">
        <is>
          <t>Ô chỉ giữ 255 ký tự, ký tự thứ 256 bị chặn, không có thông báo lỗi.</t>
        </is>
      </c>
      <c r="K34" s="70" t="inlineStr">
        <is>
          <t>256 ký tự a</t>
        </is>
      </c>
      <c r="L34" s="70" t="inlineStr">
        <is>
          <t>High</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TC-SHP-L3-034</t>
        </is>
      </c>
      <c r="C35" s="70" t="inlineStr">
        <is>
          <t>DA_LIST_003_COOL / Ô tìm kiếm gõ thêm khi đã đủ 255 ký tự</t>
        </is>
      </c>
      <c r="D35" s="70" t="inlineStr">
        <is>
          <t>Validate</t>
        </is>
      </c>
      <c r="E35" s="70" t="inlineStr">
        <is>
          <t>Medium</t>
        </is>
      </c>
      <c r="F35" s="70" t="inlineStr">
        <is>
          <t>AC-31; RQ-C18</t>
        </is>
      </c>
      <c r="G35" s="75" t="inlineStr">
        <is>
          <t>Check gõ thêm một ký tự khi ô đã đủ 255 ký tự thì ký tự không được nhận.</t>
        </is>
      </c>
      <c r="H35"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35" s="75" t="inlineStr">
        <is>
          <t>1. Mở Tab C 「配送完了」
2. Dán chuỗi 255 ký tự `a`
3. Gõ thêm ký tự 「あ」</t>
        </is>
      </c>
      <c r="J35" s="75" t="inlineStr">
        <is>
          <t>Nội dung ô vẫn là 255 ký tự `a`, ký tự 「あ」 không xuất hiện, không có thông báo lỗi.</t>
        </is>
      </c>
      <c r="K35" s="75" t="inlineStr">
        <is>
          <t>255 ký tự a + あ</t>
        </is>
      </c>
      <c r="L35" s="75" t="inlineStr">
        <is>
          <t>Medium</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TC-SHP-L3-035</t>
        </is>
      </c>
      <c r="C36" s="70" t="inlineStr">
        <is>
          <t>DA_LIST_003_COOL / Ô tìm kiếm bảo mật XSS</t>
        </is>
      </c>
      <c r="D36" s="70" t="inlineStr">
        <is>
          <t>Security</t>
        </is>
      </c>
      <c r="E36" s="70" t="inlineStr">
        <is>
          <t>High</t>
        </is>
      </c>
      <c r="F36" s="70" t="inlineStr">
        <is>
          <t>AC-31</t>
        </is>
      </c>
      <c r="G36" s="75" t="inlineStr">
        <is>
          <t>Check nhập chuỗi script vào ô tìm kiếm thì không thực thi script.</t>
        </is>
      </c>
      <c r="H36" s="75"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36" s="75" t="inlineStr">
        <is>
          <t>1. Mở Tab C 「配送完了」
2. Gõ `&lt;script&gt;alert(1)&lt;/script&gt;`
3. Bấm Enter</t>
        </is>
      </c>
      <c r="J36" s="75" t="inlineStr">
        <is>
          <t>Không hiện alert, chuỗi được xử lý như văn bản thường, màn không lỗi.</t>
        </is>
      </c>
      <c r="K36" s="75" t="inlineStr">
        <is>
          <t>&lt;script&gt;alert(1)&lt;/script&gt;</t>
        </is>
      </c>
      <c r="L36" s="75" t="inlineStr">
        <is>
          <t>Medium</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TC-SHP-L3-036</t>
        </is>
      </c>
      <c r="C37" s="70" t="inlineStr">
        <is>
          <t>DA_LIST_003_COOL / Ô tìm kiếm bảo mật SQL injection</t>
        </is>
      </c>
      <c r="D37" s="70" t="inlineStr">
        <is>
          <t>Security</t>
        </is>
      </c>
      <c r="E37" s="70" t="inlineStr">
        <is>
          <t>Medium</t>
        </is>
      </c>
      <c r="F37" s="70" t="inlineStr">
        <is>
          <t>AC-31</t>
        </is>
      </c>
      <c r="G37" s="75" t="inlineStr">
        <is>
          <t>Check nhập chuỗi SQL injection thì xử lý như văn bản thường.</t>
        </is>
      </c>
      <c r="H37" s="75"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37" s="75" t="inlineStr">
        <is>
          <t>1. Mở Tab C 「配送完了」
2. Gõ `' OR '1'='1`
3. Bấm Enter</t>
        </is>
      </c>
      <c r="J37" s="75" t="inlineStr">
        <is>
          <t>Không trả về toàn bộ dữ liệu do injection, không có lỗi server.</t>
        </is>
      </c>
      <c r="K37" s="75" t="inlineStr">
        <is>
          <t>' OR '1'='1</t>
        </is>
      </c>
      <c r="L37" s="75" t="inlineStr">
        <is>
          <t>Medium</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TC-SHP-L3-037</t>
        </is>
      </c>
      <c r="C38" s="70" t="inlineStr">
        <is>
          <t>DA_LIST_003_COOL / Ô tìm kiếm emoji và kana</t>
        </is>
      </c>
      <c r="D38" s="70" t="inlineStr">
        <is>
          <t>Validate</t>
        </is>
      </c>
      <c r="E38" s="70" t="inlineStr">
        <is>
          <t>Low</t>
        </is>
      </c>
      <c r="F38" s="70" t="inlineStr">
        <is>
          <t>AC-31</t>
        </is>
      </c>
      <c r="G38" s="75" t="inlineStr">
        <is>
          <t>[UNCONFIRMED] Check ô tìm kiếm nhập được emoji và kana nửa chiều mà không làm lỗi màn.</t>
        </is>
      </c>
      <c r="H38"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38" s="75" t="inlineStr">
        <is>
          <t>1. Mở Tab C 「配送完了」
2. Gõ `😀` rồi bấm Enter
3. Xóa, gõ `ﾔﾏﾄ` rồi bấm Enter</t>
        </is>
      </c>
      <c r="J38" s="75" t="inlineStr">
        <is>
          <t>Màn không lỗi. Kết quả với kana nửa chiều theo quy tắc khớp của hệ thống.</t>
        </is>
      </c>
      <c r="K38" s="75" t="inlineStr">
        <is>
          <t>😀, ﾔﾏﾄ</t>
        </is>
      </c>
      <c r="L38" s="75" t="inlineStr">
        <is>
          <t>Low</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TC-SHP-L3-038</t>
        </is>
      </c>
      <c r="C39" s="70" t="inlineStr">
        <is>
          <t>DA_LIST_003_COOL / Ô tìm kiếm khoảng trắng đầu cuối</t>
        </is>
      </c>
      <c r="D39" s="70" t="inlineStr">
        <is>
          <t>Validate</t>
        </is>
      </c>
      <c r="E39" s="70" t="inlineStr">
        <is>
          <t>Low</t>
        </is>
      </c>
      <c r="F39" s="70" t="inlineStr">
        <is>
          <t>AC-31</t>
        </is>
      </c>
      <c r="G39" s="75" t="inlineStr">
        <is>
          <t>[UNCONFIRMED] Check ô tìm kiếm với từ khoá có khoảng trắng đầu và cuối.</t>
        </is>
      </c>
      <c r="H39"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39" s="75" t="inlineStr">
        <is>
          <t>1. Mở Tab C 「配送完了」
2. Gõ `  大和  `
3. Bấm Enter</t>
        </is>
      </c>
      <c r="J39" s="75" t="inlineStr">
        <is>
          <t>Ghi nhận danh sách có cắt khoảng trắng hay không. Tài liệu chưa nêu quy tắc.</t>
        </is>
      </c>
      <c r="K39" s="75" t="inlineStr">
        <is>
          <t>大和</t>
        </is>
      </c>
      <c r="L39" s="75" t="inlineStr">
        <is>
          <t>Low</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TC-SHP-L3-039</t>
        </is>
      </c>
      <c r="C40" s="74" t="inlineStr">
        <is>
          <t>DA_LIST_003_COOL / Ô tìm kiếm kết hợp dropdown kho</t>
        </is>
      </c>
      <c r="D40" s="70" t="inlineStr">
        <is>
          <t>Logic</t>
        </is>
      </c>
      <c r="E40" s="70" t="inlineStr">
        <is>
          <t>Medium</t>
        </is>
      </c>
      <c r="F40" s="70" t="inlineStr">
        <is>
          <t>AC-30; AC-31</t>
        </is>
      </c>
      <c r="G40" s="75" t="inlineStr">
        <is>
          <t>Check tìm kiếm và dropdown kho áp dụng đồng thời theo điều kiện AND.</t>
        </is>
      </c>
      <c r="H40"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40" s="70" t="inlineStr">
        <is>
          <t>1. Mở Tab C 「配送完了」
2. Chọn 「オージーフーズ倉庫」
3. Gõ 「大和」 rồi bấm Enter</t>
        </is>
      </c>
      <c r="J40" s="75" t="inlineStr">
        <is>
          <t>Danh sách chỉ gồm thẻ vừa đi qua kho 「オージーフーズ倉庫」 vừa có điểm giao hoặc địa chỉ chứa 「大和」.</t>
        </is>
      </c>
      <c r="K40" s="75" t="inlineStr">
        <is>
          <t>オージーフーズ倉庫 + 大和</t>
        </is>
      </c>
      <c r="L40" s="75" t="inlineStr">
        <is>
          <t>Medium</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TC-SHP-L3-040</t>
        </is>
      </c>
      <c r="C41" s="74" t="inlineStr">
        <is>
          <t>DA_LIST_003_COOL / Thẻ tên điểm giao dài xuống dòng đủ</t>
        </is>
      </c>
      <c r="D41" s="70" t="inlineStr">
        <is>
          <t>UI</t>
        </is>
      </c>
      <c r="E41" s="70" t="inlineStr">
        <is>
          <t>High</t>
        </is>
      </c>
      <c r="F41" s="70" t="inlineStr">
        <is>
          <t>AC-32; RQ-C19</t>
        </is>
      </c>
      <c r="G41" s="70" t="inlineStr">
        <is>
          <t>Check tên điểm giao dài xuống dòng hiển thị toàn bộ, không rút gọn.</t>
        </is>
      </c>
      <c r="H41"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41" s="70" t="inlineStr">
        <is>
          <t>1. Mở Tab C 「配送完了」
2. Tìm thẻ 「富士フィナンシャルアドバイザリー株式会社」
3. Quan sát tên điểm giao</t>
        </is>
      </c>
      <c r="J41" s="70" t="inlineStr">
        <is>
          <t>Tên hiển thị đầy đủ qua nhiều dòng, không có 「…」.</t>
        </is>
      </c>
      <c r="K41" s="70" t="inlineStr">
        <is>
          <t>富士フィナンシャルアドバイザリー株式会社</t>
        </is>
      </c>
      <c r="L41" s="70" t="inlineStr">
        <is>
          <t>High</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TC-SHP-L3-041</t>
        </is>
      </c>
      <c r="C42" s="74" t="inlineStr">
        <is>
          <t>DA_LIST_003_COOL / Thẻ địa chỉ hiển thị đầy đủ</t>
        </is>
      </c>
      <c r="D42" s="70" t="inlineStr">
        <is>
          <t>UI</t>
        </is>
      </c>
      <c r="E42" s="70" t="inlineStr">
        <is>
          <t>High</t>
        </is>
      </c>
      <c r="F42" s="70" t="inlineStr">
        <is>
          <t>AC-32; RQ-C20</t>
        </is>
      </c>
      <c r="G42" s="75" t="inlineStr">
        <is>
          <t>Check địa chỉ hiển thị đầy đủ gồm tên tòa nhà, tầng, tên công ty và phòng ban.</t>
        </is>
      </c>
      <c r="H42"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42" s="70" t="inlineStr">
        <is>
          <t>1. Mở Tab C 「配送完了」
2. Quan sát địa chỉ của thẻ có địa chỉ dài (東京都中央区八重洲二丁目８番７号 東京ミッドタウン八重洲八重洲セントラルタワー２３階 株式会社大和インターナショナルトレーディング 東京本社ビジネスソリューション事業部)</t>
        </is>
      </c>
      <c r="J42" s="70" t="inlineStr">
        <is>
          <t>Toàn bộ địa chỉ hiển thị nhiều dòng, không bị rút gọn bằng 「…」.</t>
        </is>
      </c>
      <c r="K42" s="70" t="inlineStr">
        <is>
          <t>東京都中央区八重洲二丁目８番７号 ... ビジネスソリューション事業部</t>
        </is>
      </c>
      <c r="L42" s="70" t="inlineStr">
        <is>
          <t>High</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inlineStr">
        <is>
          <t>TC-SHP-L3-042</t>
        </is>
      </c>
      <c r="C43" s="74" t="inlineStr">
        <is>
          <t>DA_LIST_003_COOL / Thẻ ngày giao định dạng</t>
        </is>
      </c>
      <c r="D43" s="70" t="inlineStr">
        <is>
          <t>UI</t>
        </is>
      </c>
      <c r="E43" s="70" t="inlineStr">
        <is>
          <t>High</t>
        </is>
      </c>
      <c r="F43" s="70" t="inlineStr">
        <is>
          <t>AC-37; RQ-C12</t>
        </is>
      </c>
      <c r="G43" s="75" t="inlineStr">
        <is>
          <t>Check ngày giao hiển thị theo định dạng yyyy-mm-dd（thứ）.</t>
        </is>
      </c>
      <c r="H43"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43" s="75" t="inlineStr">
        <is>
          <t>1. Mở Tab C 「配送完了」
2. Quan sát dòng ngày của thẻ giao 2026-10-08</t>
        </is>
      </c>
      <c r="J43" s="70" t="inlineStr">
        <is>
          <t>Hiển thị 「2026-10-08（木）」 có icon lịch bên trái.</t>
        </is>
      </c>
      <c r="K43" s="70" t="inlineStr">
        <is>
          <t>2026-10-08（木）</t>
        </is>
      </c>
      <c r="L43" s="70" t="inlineStr">
        <is>
          <t>High</t>
        </is>
      </c>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inlineStr">
        <is>
          <t>TC-SHP-L3-043</t>
        </is>
      </c>
      <c r="C44" s="74" t="inlineStr">
        <is>
          <t>DA_LIST_003_COOL / Thẻ thứ tính tự động từ ngày</t>
        </is>
      </c>
      <c r="D44" s="70" t="inlineStr">
        <is>
          <t>Logic</t>
        </is>
      </c>
      <c r="E44" s="70" t="inlineStr">
        <is>
          <t>Medium</t>
        </is>
      </c>
      <c r="F44" s="70" t="inlineStr">
        <is>
          <t>AC-37; RQ-C12</t>
        </is>
      </c>
      <c r="G44" s="75" t="inlineStr">
        <is>
          <t>Check thứ trong ngoặc được tính đúng theo lịch với ngày 2026-10-09 và 2026-10-12.</t>
        </is>
      </c>
      <c r="H44"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44" s="75" t="inlineStr">
        <is>
          <t>1. Mở Tab C 「配送完了」 với khoảng 2026-10-08 đến 2026-10-15
2. Quan sát ngày thẻ 2026-10-09 và 2026-10-12</t>
        </is>
      </c>
      <c r="J44" s="75" t="inlineStr">
        <is>
          <t>Hiển thị 「2026-10-09（金）」 và 「2026-10-12（月）」.</t>
        </is>
      </c>
      <c r="K44" s="75" t="inlineStr">
        <is>
          <t>2026-10-09, 2026-10-12</t>
        </is>
      </c>
      <c r="L44" s="75" t="inlineStr">
        <is>
          <t>Medium</t>
        </is>
      </c>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inlineStr">
        <is>
          <t>TC-SHP-L3-044</t>
        </is>
      </c>
      <c r="C45" s="76" t="inlineStr">
        <is>
          <t>DA_LIST_003_COOL / Thẻ icon loại giao ES配送便 và COOL便</t>
        </is>
      </c>
      <c r="D45" s="70" t="inlineStr">
        <is>
          <t>UI</t>
        </is>
      </c>
      <c r="E45" s="70" t="inlineStr">
        <is>
          <t>Medium</t>
        </is>
      </c>
      <c r="F45" s="70" t="inlineStr">
        <is>
          <t>RQ-C17; BD:DA_LIST_003_COOL_ListDone</t>
        </is>
      </c>
      <c r="G45" s="75" t="inlineStr">
        <is>
          <t>Check mỗi thẻ có icon loại giao tương ứng ES配送便 hoặc COOL便.</t>
        </is>
      </c>
      <c r="H45"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45" s="75" t="inlineStr">
        <is>
          <t>1. Mở Tab C 「配送完了」
2. So sánh icon của thẻ ES配送便 và thẻ COOL便 trong danh sách</t>
        </is>
      </c>
      <c r="J45" s="75" t="inlineStr">
        <is>
          <t>Thẻ ES配送便 và thẻ COOL便 dùng hai icon khác nhau, cùng một loại giao dùng cùng icon.</t>
        </is>
      </c>
      <c r="K45" s="75" t="inlineStr">
        <is>
          <t>ES配送便, COOL便</t>
        </is>
      </c>
      <c r="L45" s="75" t="inlineStr">
        <is>
          <t>Medium</t>
        </is>
      </c>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inlineStr">
        <is>
          <t>TC-SHP-L3-045</t>
        </is>
      </c>
      <c r="C46" s="74" t="inlineStr">
        <is>
          <t>DA_LIST_003_COOL / Thẻ tên kho kèm icon kho</t>
        </is>
      </c>
      <c r="D46" s="70" t="inlineStr">
        <is>
          <t>UI</t>
        </is>
      </c>
      <c r="E46" s="70" t="inlineStr">
        <is>
          <t>Medium</t>
        </is>
      </c>
      <c r="F46" s="70" t="inlineStr">
        <is>
          <t>BD:DA_LIST_003_COOL_ListDone</t>
        </is>
      </c>
      <c r="G46" s="75" t="inlineStr">
        <is>
          <t>Check tên kho và trung chuyển hiển thị kèm icon kho.</t>
        </is>
      </c>
      <c r="H46"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46" s="75" t="inlineStr">
        <is>
          <t>1. Mở Tab C 「配送完了」
2. Quan sát dòng cạnh ngày của thẻ</t>
        </is>
      </c>
      <c r="J46" s="75" t="inlineStr">
        <is>
          <t>Hiển thị icon kho kèm 「オージーフーズ倉庫」 bên phải dòng ngày.</t>
        </is>
      </c>
      <c r="K46" s="75" t="inlineStr">
        <is>
          <t>オージーフーズ倉庫</t>
        </is>
      </c>
      <c r="L46" s="75" t="inlineStr">
        <is>
          <t>Medium</t>
        </is>
      </c>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inlineStr">
        <is>
          <t>TC-SHP-L3-046</t>
        </is>
      </c>
      <c r="C47" s="74" t="inlineStr">
        <is>
          <t>DA_LIST_003_COOL / Thẻ 箱数 ngày tương lai</t>
        </is>
      </c>
      <c r="D47" s="70" t="inlineStr">
        <is>
          <t>Logic</t>
        </is>
      </c>
      <c r="E47" s="70" t="inlineStr">
        <is>
          <t>High</t>
        </is>
      </c>
      <c r="F47" s="70" t="inlineStr">
        <is>
          <t>AC-34; RQ-C21</t>
        </is>
      </c>
      <c r="G47" s="75" t="inlineStr">
        <is>
          <t>[UNCONFIRMED] Check thẻ ngày tương lai hiển thị số thùng dạng 「{n}箱（予定）」.</t>
        </is>
      </c>
      <c r="H47" s="75"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47" s="75" t="inlineStr">
        <is>
          <t>1. Mở Tab C 「配送完了」
2. Quan sát thẻ giao 2026-10-12</t>
        </is>
      </c>
      <c r="J47" s="75" t="inlineStr">
        <is>
          <t>Hiển thị 「2箱（予定）」 theo số thùng dự kiến (Figma mẫu hiển thị 「2箱」).</t>
        </is>
      </c>
      <c r="K47" s="75" t="inlineStr">
        <is>
          <t>Thẻ 2026-10-12 dự kiến 2 箱</t>
        </is>
      </c>
      <c r="L47" s="75" t="inlineStr">
        <is>
          <t>High</t>
        </is>
      </c>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inlineStr">
        <is>
          <t>TC-SHP-L3-047</t>
        </is>
      </c>
      <c r="C48" s="74" t="inlineStr">
        <is>
          <t>DA_LIST_003_COOL / Thẻ 箱数 đã picking</t>
        </is>
      </c>
      <c r="D48" s="70" t="inlineStr">
        <is>
          <t>Logic</t>
        </is>
      </c>
      <c r="E48" s="70" t="inlineStr">
        <is>
          <t>High</t>
        </is>
      </c>
      <c r="F48" s="70" t="inlineStr">
        <is>
          <t>AC-34; RQ-C21</t>
        </is>
      </c>
      <c r="G48" s="75" t="inlineStr">
        <is>
          <t>Check thẻ đã picking xong hiển thị số thùng thực tế 「{n}箱」.</t>
        </is>
      </c>
      <c r="H48" s="75"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48" s="75" t="inlineStr">
        <is>
          <t>1. Mở Tab C 「配送完了」
2. Quan sát thẻ giao 2026-10-08 đã picking xong</t>
        </is>
      </c>
      <c r="J48" s="75" t="inlineStr">
        <is>
          <t>Hiển thị 「2箱」 (số thực tế, không có （予定）).</t>
        </is>
      </c>
      <c r="K48" s="75" t="inlineStr">
        <is>
          <t>Thẻ 2026-10-08 đã picking 2 箱</t>
        </is>
      </c>
      <c r="L48" s="75" t="inlineStr">
        <is>
          <t>High</t>
        </is>
      </c>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inlineStr">
        <is>
          <t>TC-SHP-L3-048</t>
        </is>
      </c>
      <c r="C49" s="74" t="inlineStr">
        <is>
          <t>DA_LIST_003_COOL / Thẻ ẩn 箱数 khi chưa picking</t>
        </is>
      </c>
      <c r="D49" s="70" t="inlineStr">
        <is>
          <t>Logic</t>
        </is>
      </c>
      <c r="E49" s="70" t="inlineStr">
        <is>
          <t>High</t>
        </is>
      </c>
      <c r="F49" s="70" t="inlineStr">
        <is>
          <t>AC-34; RQ-C21</t>
        </is>
      </c>
      <c r="G49" s="75" t="inlineStr">
        <is>
          <t>Check thẻ chưa picking xong ẩn hẳn 「{n}箱」 và không hiển thị 未確定.</t>
        </is>
      </c>
      <c r="H49"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49" s="75" t="inlineStr">
        <is>
          <t>1. Mở Tab C 「配送完了」
2. Quan sát thẻ giao 2026-10-08 chưa picking</t>
        </is>
      </c>
      <c r="J49" s="75" t="inlineStr">
        <is>
          <t>Thẻ không có trường 「…箱」 và không hiện 「未確定」 (khác Tab A).</t>
        </is>
      </c>
      <c r="K49" s="75" t="inlineStr">
        <is>
          <t>Thẻ 2026-10-08 chưa picking</t>
        </is>
      </c>
      <c r="L49" s="75" t="inlineStr">
        <is>
          <t>High</t>
        </is>
      </c>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inlineStr">
        <is>
          <t>TC-SHP-L3-049</t>
        </is>
      </c>
      <c r="C50" s="74" t="inlineStr">
        <is>
          <t>DA_LIST_003_COOL / Thẻ 品数 đã picking</t>
        </is>
      </c>
      <c r="D50" s="70" t="inlineStr">
        <is>
          <t>Logic</t>
        </is>
      </c>
      <c r="E50" s="70" t="inlineStr">
        <is>
          <t>High</t>
        </is>
      </c>
      <c r="F50" s="70" t="inlineStr">
        <is>
          <t>AC-33; RQ-C22</t>
        </is>
      </c>
      <c r="G50" s="77" t="inlineStr">
        <is>
          <t>Check thẻ đã picking có số mặt hàng lớn hơn 0 thì hiển thị 品数 mát・thường và đông lạnh kèm icon.</t>
        </is>
      </c>
      <c r="H50"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50" s="75" t="inlineStr">
        <is>
          <t>1. Mở Tab C 「配送完了」
2. Quan sát thẻ đã picking có 冷蔵・常温 10 品 và 冷凍 20 品</t>
        </is>
      </c>
      <c r="J50" s="75" t="inlineStr">
        <is>
          <t>Hiển thị 「10品」 kèm icon tủ lạnh và 「20品」 kèm icon bông tuyết.</t>
        </is>
      </c>
      <c r="K50" s="75" t="inlineStr">
        <is>
          <t>冷蔵・常温 10品, 冷凍 20品</t>
        </is>
      </c>
      <c r="L50" s="75" t="inlineStr">
        <is>
          <t>High</t>
        </is>
      </c>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inlineStr">
        <is>
          <t>TC-SHP-L3-050</t>
        </is>
      </c>
      <c r="C51" s="74" t="inlineStr">
        <is>
          <t>DA_LIST_003_COOL / Thẻ 品数 ngày tương lai</t>
        </is>
      </c>
      <c r="D51" s="70" t="inlineStr">
        <is>
          <t>Logic</t>
        </is>
      </c>
      <c r="E51" s="70" t="inlineStr">
        <is>
          <t>Medium</t>
        </is>
      </c>
      <c r="F51" s="70" t="inlineStr">
        <is>
          <t>AC-33; RQ-C22</t>
        </is>
      </c>
      <c r="G51" s="75" t="inlineStr">
        <is>
          <t>Check thẻ ngày tương lai có số mặt hàng lớn hơn 0 vẫn hiển thị 品数.</t>
        </is>
      </c>
      <c r="H51"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51" s="70" t="inlineStr">
        <is>
          <t>1. Mở Tab C 「配送完了」
2. Quan sát thẻ giao 2026-10-12 chưa picking, 冷蔵・常温 10 品</t>
        </is>
      </c>
      <c r="J51" s="75" t="inlineStr">
        <is>
          <t>品数 hiển thị 「10品」 vì là dữ liệu tương lai.</t>
        </is>
      </c>
      <c r="K51" s="75" t="inlineStr">
        <is>
          <t>Thẻ 2026-10-12, 10品</t>
        </is>
      </c>
      <c r="L51" s="75" t="inlineStr">
        <is>
          <t>Medium</t>
        </is>
      </c>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inlineStr">
        <is>
          <t>TC-SHP-L3-051</t>
        </is>
      </c>
      <c r="C52" s="74" t="inlineStr">
        <is>
          <t>DA_LIST_003_COOL / Thẻ ẩn 品数 khi chưa picking và không phải tương lai</t>
        </is>
      </c>
      <c r="D52" s="70" t="inlineStr">
        <is>
          <t>Logic</t>
        </is>
      </c>
      <c r="E52" s="70" t="inlineStr">
        <is>
          <t>High</t>
        </is>
      </c>
      <c r="F52" s="70" t="inlineStr">
        <is>
          <t>AC-33; RQ-C22</t>
        </is>
      </c>
      <c r="G52" s="70" t="inlineStr">
        <is>
          <t>Check thẻ hôm nay hoặc quá khứ chưa picking ẩn 品数.</t>
        </is>
      </c>
      <c r="H52"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52" s="70" t="inlineStr">
        <is>
          <t>1. Mở Tab C 「配送完了」
2. Quan sát thẻ giao 2026-10-08 chưa picking xong</t>
        </is>
      </c>
      <c r="J52" s="70" t="inlineStr">
        <is>
          <t>Thẻ không hiển thị 品数 (cả mát・thường và đông lạnh).</t>
        </is>
      </c>
      <c r="K52" s="70" t="inlineStr">
        <is>
          <t>Thẻ 2026-10-08 chưa picking</t>
        </is>
      </c>
      <c r="L52" s="70" t="inlineStr">
        <is>
          <t>High</t>
        </is>
      </c>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inlineStr">
        <is>
          <t>TC-SHP-L3-052</t>
        </is>
      </c>
      <c r="C53" s="74" t="inlineStr">
        <is>
          <t>DA_LIST_003_COOL / Thẻ ẩn 品数 bằng 0</t>
        </is>
      </c>
      <c r="D53" s="70" t="inlineStr">
        <is>
          <t>Logic</t>
        </is>
      </c>
      <c r="E53" s="70" t="inlineStr">
        <is>
          <t>Medium</t>
        </is>
      </c>
      <c r="F53" s="70" t="inlineStr">
        <is>
          <t>AC-33; RQ-C22</t>
        </is>
      </c>
      <c r="G53" s="75" t="inlineStr">
        <is>
          <t>Check mục 品数 có giá trị 0 bị ẩn dù đã picking xong.</t>
        </is>
      </c>
      <c r="H53"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53" s="70" t="inlineStr">
        <is>
          <t>1. Mở Tab C 「配送完了」
2. Quan sát thẻ đã picking có 冷凍 0 品 và 冷蔵・常温 10 品</t>
        </is>
      </c>
      <c r="J53" s="70" t="inlineStr">
        <is>
          <t>Chỉ hiển thị mục 冷蔵・常温 「10品」, không hiển thị mục 冷凍 và số 0.</t>
        </is>
      </c>
      <c r="K53" s="70" t="inlineStr">
        <is>
          <t>冷凍 0品, 冷蔵・常温 10品</t>
        </is>
      </c>
      <c r="L53" s="70" t="inlineStr">
        <is>
          <t>Medium</t>
        </is>
      </c>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inlineStr">
        <is>
          <t>TC-SHP-L3-053</t>
        </is>
      </c>
      <c r="C54" s="74" t="inlineStr">
        <is>
          <t>DA_LIST_003_COOL / Thứ tự hiển thị theo ngày giao</t>
        </is>
      </c>
      <c r="D54" s="70" t="inlineStr">
        <is>
          <t>Logic</t>
        </is>
      </c>
      <c r="E54" s="70" t="inlineStr">
        <is>
          <t>High</t>
        </is>
      </c>
      <c r="F54" s="70" t="inlineStr">
        <is>
          <t>AC-28; RQ-C26</t>
        </is>
      </c>
      <c r="G54" s="75" t="inlineStr">
        <is>
          <t>[UNCONFIRMED] Check danh sách sắp xếp theo 納品日付 trước tiên.</t>
        </is>
      </c>
      <c r="H54"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54" s="75" t="inlineStr">
        <is>
          <t>1. Mở Tab C 「配送完了」 với khoảng 2026-10-08 đến 2026-10-15
2. Ghi lại ngày giao của các thẻ từ trên xuống</t>
        </is>
      </c>
      <c r="J54" s="70" t="inlineStr">
        <is>
          <t>Thẻ được sắp theo ngày giao nhất quán (ghi nhận tăng hay giảm dần). Hướng sắp xếp chưa được nêu rõ.</t>
        </is>
      </c>
      <c r="K54" s="70" t="inlineStr">
        <is>
          <t>Thẻ ngày 2026-10-08, 2026-10-09, 2026-10-12</t>
        </is>
      </c>
      <c r="L54" s="70" t="inlineStr">
        <is>
          <t>High</t>
        </is>
      </c>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inlineStr">
        <is>
          <t>TC-SHP-L3-054</t>
        </is>
      </c>
      <c r="C55" s="74" t="inlineStr">
        <is>
          <t>DA_LIST_003_COOL / Thứ tự hiển thị theo ステータス và 拠点名</t>
        </is>
      </c>
      <c r="D55" s="70" t="inlineStr">
        <is>
          <t>Logic</t>
        </is>
      </c>
      <c r="E55" s="70" t="inlineStr">
        <is>
          <t>Medium</t>
        </is>
      </c>
      <c r="F55" s="70" t="inlineStr">
        <is>
          <t>RQ-C26</t>
        </is>
      </c>
      <c r="G55" s="75" t="inlineStr">
        <is>
          <t>[UNCONFIRMED] Check cùng một ngày thì sắp theo ステータス rồi 拠点名.</t>
        </is>
      </c>
      <c r="H55"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55" s="75" t="inlineStr">
        <is>
          <t>1. Mở Tab C 「配送完了」
2. Xem các thẻ cùng ngày 2026-10-08 có trạng thái và tên điểm khác nhau</t>
        </is>
      </c>
      <c r="J55" s="75" t="inlineStr">
        <is>
          <t>Thứ tự theo ステータス rồi 拠点名 nhất quán. Thứ tự chi tiết chưa được tài liệu nêu rõ.</t>
        </is>
      </c>
      <c r="K55" s="75" t="inlineStr">
        <is>
          <t>Thẻ cùng ngày 2026-10-08</t>
        </is>
      </c>
      <c r="L55" s="75" t="inlineStr">
        <is>
          <t>Medium</t>
        </is>
      </c>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inlineStr">
        <is>
          <t>TC-SHP-L3-055</t>
        </is>
      </c>
      <c r="C56" s="76" t="inlineStr">
        <is>
          <t>DA_LIST_003_COOL / Phân trang lần tải đầu</t>
        </is>
      </c>
      <c r="D56" s="75" t="inlineStr">
        <is>
          <t>Behavior</t>
        </is>
      </c>
      <c r="E56" s="75" t="inlineStr">
        <is>
          <t>High</t>
        </is>
      </c>
      <c r="F56" s="75" t="inlineStr">
        <is>
          <t>RQ-C24; RQ-C26; OQ-07</t>
        </is>
      </c>
      <c r="G56" s="75" t="inlineStr">
        <is>
          <t>Check lần tải đầu hiển thị 20 bản ghi khi khoảng ngày có 45 bản ghi.</t>
        </is>
      </c>
      <c r="H56"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 Seed có 45 thẻ.</t>
        </is>
      </c>
      <c r="I56" s="75" t="inlineStr">
        <is>
          <t>1. Mở Tab C 「配送完了」
2. Không cuộn, đếm số thẻ đã tải</t>
        </is>
      </c>
      <c r="J56" s="75" t="inlineStr">
        <is>
          <t>Có đúng 20 thẻ được tải.</t>
        </is>
      </c>
      <c r="K56" s="75" t="inlineStr">
        <is>
          <t>45 bản ghi seed</t>
        </is>
      </c>
      <c r="L56" s="75" t="inlineStr">
        <is>
          <t>High</t>
        </is>
      </c>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inlineStr">
        <is>
          <t>TC-SHP-L3-056</t>
        </is>
      </c>
      <c r="C57" s="76" t="inlineStr">
        <is>
          <t>DA_LIST_003_COOL / Phân trang tự tải khi cuộn</t>
        </is>
      </c>
      <c r="D57" s="75" t="inlineStr">
        <is>
          <t>Behavior</t>
        </is>
      </c>
      <c r="E57" s="75" t="inlineStr">
        <is>
          <t>High</t>
        </is>
      </c>
      <c r="F57" s="75" t="inlineStr">
        <is>
          <t>RQ-C26; OQ-07</t>
        </is>
      </c>
      <c r="G57" s="75" t="inlineStr">
        <is>
          <t>Check cuộn đến cuối danh sách thì tự tải thêm 20 bản ghi kế tiếp.</t>
        </is>
      </c>
      <c r="H57" s="75"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 Seed có 45 thẻ.</t>
        </is>
      </c>
      <c r="I57" s="75" t="inlineStr">
        <is>
          <t>1. Mở Tab C 「配送完了」
2. Cuộn đến cuối 20 thẻ đầu</t>
        </is>
      </c>
      <c r="J57" s="75" t="inlineStr">
        <is>
          <t>Tự tải thêm 20 thẻ (tổng 40), không trùng thẻ, không mất thứ tự.</t>
        </is>
      </c>
      <c r="K57" s="75" t="inlineStr">
        <is>
          <t>45 bản ghi seed</t>
        </is>
      </c>
      <c r="L57" s="75" t="inlineStr">
        <is>
          <t>High</t>
        </is>
      </c>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inlineStr">
        <is>
          <t>TC-SHP-L3-057</t>
        </is>
      </c>
      <c r="C58" s="76" t="inlineStr">
        <is>
          <t>DA_LIST_003_COOL / Phân trang trang cuối</t>
        </is>
      </c>
      <c r="D58" s="75" t="inlineStr">
        <is>
          <t>Behavior</t>
        </is>
      </c>
      <c r="E58" s="75" t="inlineStr">
        <is>
          <t>Medium</t>
        </is>
      </c>
      <c r="F58" s="75" t="inlineStr">
        <is>
          <t>RQ-C26; OQ-07</t>
        </is>
      </c>
      <c r="G58" s="75" t="inlineStr">
        <is>
          <t>Check khi hết dữ liệu thì không tải thêm.</t>
        </is>
      </c>
      <c r="H58" s="75"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 Seed có 45 thẻ.</t>
        </is>
      </c>
      <c r="I58" s="75" t="inlineStr">
        <is>
          <t>1. Mở Tab C 「配送完了」
2. Cuộn đến cuối ba lần liên tiếp</t>
        </is>
      </c>
      <c r="J58" s="75" t="inlineStr">
        <is>
          <t>Lần 3 tải thêm 5 thẻ (tổng 45), cuộn tiếp không tải thêm và không có vòng quay tải.</t>
        </is>
      </c>
      <c r="K58" s="75" t="inlineStr">
        <is>
          <t>45 bản ghi seed</t>
        </is>
      </c>
      <c r="L58" s="75" t="inlineStr">
        <is>
          <t>Medium</t>
        </is>
      </c>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inlineStr">
        <is>
          <t>TC-SHP-L3-058</t>
        </is>
      </c>
      <c r="C59" s="76" t="inlineStr">
        <is>
          <t>DA_LIST_003_COOL / Phân trang tính theo tìm kiếm</t>
        </is>
      </c>
      <c r="D59" s="75" t="inlineStr">
        <is>
          <t>Behavior</t>
        </is>
      </c>
      <c r="E59" s="75" t="inlineStr">
        <is>
          <t>Medium</t>
        </is>
      </c>
      <c r="F59" s="75" t="inlineStr">
        <is>
          <t>RQ-C26; OQ-07</t>
        </is>
      </c>
      <c r="G59" s="79" t="inlineStr">
        <is>
          <t>[UNCONFIRMED] Check việc tải trang kế tiếp vẫn áp dụng từ khoá và dropdown kho đang chọn.</t>
        </is>
      </c>
      <c r="H59"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 Seed có 45 thẻ, 30 thẻ thuộc 「オージーフーズ倉庫」.</t>
        </is>
      </c>
      <c r="I59" s="75" t="inlineStr">
        <is>
          <t>1. Mở Tab C 「配送完了」
2. Chọn 「オージーフーズ倉庫」
3. Cuộn đến cuối 20 thẻ đầu</t>
        </is>
      </c>
      <c r="J59" s="75" t="inlineStr">
        <is>
          <t>Tải thêm 10 thẻ của 「オージーフーズ倉庫」, không xuất hiện thẻ kho khác.</t>
        </is>
      </c>
      <c r="K59" s="75" t="inlineStr">
        <is>
          <t>30 thẻ オージーフーズ倉庫</t>
        </is>
      </c>
      <c r="L59" s="75" t="inlineStr">
        <is>
          <t>Medium</t>
        </is>
      </c>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inlineStr">
        <is>
          <t>TC-SHP-L3-059</t>
        </is>
      </c>
      <c r="C60" s="76" t="inlineStr">
        <is>
          <t>DA_LIST_003_COOL / Empty state khoảng ngày không có bản ghi</t>
        </is>
      </c>
      <c r="D60" s="70" t="inlineStr">
        <is>
          <t>Behavior</t>
        </is>
      </c>
      <c r="E60" s="70" t="inlineStr">
        <is>
          <t>High</t>
        </is>
      </c>
      <c r="F60" s="70" t="inlineStr">
        <is>
          <t>AC-101; RQ-C25; OQ-06; OQ-35; E_DALIST003COOL_003</t>
        </is>
      </c>
      <c r="G60" s="75" t="inlineStr">
        <is>
          <t>[UNCONFIRMED] Check khoảng ngày không có thẻ nào thì hiện empty state theo bản v3.</t>
        </is>
      </c>
      <c r="H60"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60" s="75" t="inlineStr">
        <is>
          <t>1. Mở Tab C 「配送完了」
2. Chọn 開始日 2027-01-04 và 終了日 2027-01-11</t>
        </is>
      </c>
      <c r="J60" s="75" t="inlineStr">
        <is>
          <t>Danh sách trống, hiển thị 「配送予定データはありません。」 (mã E_DALIST003COOL_003). Câu chữ theo Figma v3, đang chờ BrSE xác nhận (SPEC cũ ghi 「該当する配送はありません。」).</t>
        </is>
      </c>
      <c r="K60" s="75" t="inlineStr">
        <is>
          <t>2027-01-04 đến 2027-01-11</t>
        </is>
      </c>
      <c r="L60" s="75" t="inlineStr">
        <is>
          <t>High</t>
        </is>
      </c>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inlineStr">
        <is>
          <t>TC-SHP-L3-060</t>
        </is>
      </c>
      <c r="C61" s="76" t="inlineStr">
        <is>
          <t>DA_LIST_003_COOL / Empty state biến mất khi đổi sang khoảng có dữ liệu</t>
        </is>
      </c>
      <c r="D61" s="70" t="inlineStr">
        <is>
          <t>Behavior</t>
        </is>
      </c>
      <c r="E61" s="70" t="inlineStr">
        <is>
          <t>Medium</t>
        </is>
      </c>
      <c r="F61" s="70" t="inlineStr">
        <is>
          <t>RQ-C25; OQ-06</t>
        </is>
      </c>
      <c r="G61" s="75" t="inlineStr">
        <is>
          <t>[UNCONFIRMED] Check empty state biến mất khi đổi lại khoảng ngày có dữ liệu.</t>
        </is>
      </c>
      <c r="H61"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61" s="75" t="inlineStr">
        <is>
          <t>1. Mở Tab C 「配送完了」, chọn khoảng 2027-01-04 đến 2027-01-11
2. Chọn lại 開始日 2026-10-08 và 終了日 2026-10-15</t>
        </is>
      </c>
      <c r="J61" s="75" t="inlineStr">
        <is>
          <t>Empty state biến mất, danh sách thẻ hiển thị lại.</t>
        </is>
      </c>
      <c r="K61" s="75" t="inlineStr">
        <is>
          <t>2027-01-04 rồi 2026-10-08</t>
        </is>
      </c>
      <c r="L61" s="75" t="inlineStr">
        <is>
          <t>Medium</t>
        </is>
      </c>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inlineStr">
        <is>
          <t>TC-SHP-L3-061</t>
        </is>
      </c>
      <c r="C62" s="76" t="inlineStr">
        <is>
          <t>DA_LIST_003_COOL / Thẻ badge 配送完了</t>
        </is>
      </c>
      <c r="D62" s="70" t="inlineStr">
        <is>
          <t>UI</t>
        </is>
      </c>
      <c r="E62" s="70" t="inlineStr">
        <is>
          <t>Medium</t>
        </is>
      </c>
      <c r="F62" s="70" t="inlineStr">
        <is>
          <t>AC-36; RQ-C13</t>
        </is>
      </c>
      <c r="G62" s="75" t="inlineStr">
        <is>
          <t>Check mọi thẻ Tab C có badge 「配送完了」 màu xanh lá.</t>
        </is>
      </c>
      <c r="H62"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62" s="70" t="inlineStr">
        <is>
          <t>1. Mở Tab C
2. Quan sát badge của từng thẻ</t>
        </is>
      </c>
      <c r="J62" s="75" t="inlineStr">
        <is>
          <t>Mọi thẻ chỉ có badge 「配送完了」 màu xanh lá, không có badge khác.</t>
        </is>
      </c>
      <c r="K62" s="75" t="inlineStr">
        <is>
          <t>配送完了</t>
        </is>
      </c>
      <c r="L62" s="75" t="inlineStr">
        <is>
          <t>Medium</t>
        </is>
      </c>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inlineStr">
        <is>
          <t>TC-SHP-L3-062</t>
        </is>
      </c>
      <c r="C63" s="76" t="inlineStr">
        <is>
          <t>DA_LIST_003_COOL / Tab C chỉ có 配送完了</t>
        </is>
      </c>
      <c r="D63" s="70" t="inlineStr">
        <is>
          <t>Logic</t>
        </is>
      </c>
      <c r="E63" s="70" t="inlineStr">
        <is>
          <t>High</t>
        </is>
      </c>
      <c r="F63" s="70" t="inlineStr">
        <is>
          <t>AC-28; RQ-C07</t>
        </is>
      </c>
      <c r="G63" s="70" t="inlineStr">
        <is>
          <t>Check Tab C chỉ chứa đơn 配送完了 của cả ES配送便 và COOL便.</t>
        </is>
      </c>
      <c r="H63"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63" s="70" t="inlineStr">
        <is>
          <t>1. Mở Tab C
2. Duyệt toàn bộ danh sách</t>
        </is>
      </c>
      <c r="J63" s="70" t="inlineStr">
        <is>
          <t>Không có thẻ 「未配送」 hay 「トラブル」. Cả ES配送便 và COOL便 đều xuất hiện.</t>
        </is>
      </c>
      <c r="K63" s="70" t="inlineStr">
        <is>
          <t>-</t>
        </is>
      </c>
      <c r="L63" s="70" t="inlineStr">
        <is>
          <t>High</t>
        </is>
      </c>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inlineStr">
        <is>
          <t>TC-SHP-L3-063</t>
        </is>
      </c>
      <c r="C64" s="76" t="inlineStr">
        <is>
          <t>DA_LIST_003_COOL / Thẻ ES配送便 hoàn tất 6 ngày trước</t>
        </is>
      </c>
      <c r="D64" s="70" t="inlineStr">
        <is>
          <t>Navigation</t>
        </is>
      </c>
      <c r="E64" s="70" t="inlineStr">
        <is>
          <t>High</t>
        </is>
      </c>
      <c r="F64" s="70" t="inlineStr">
        <is>
          <t>AC-38; RQ-E55; RQ-E61</t>
        </is>
      </c>
      <c r="G64" s="75" t="inlineStr">
        <is>
          <t>[UNCONFIRMED] Check thẻ ES配送便 hoàn tất 6 ngày trước (trong 7 ngày) mở chi tiết cho phép sửa.</t>
        </is>
      </c>
      <c r="H64"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64" s="70" t="inlineStr">
        <is>
          <t>1. Mở Tab C
2. Bấm thẻ ES配送便 配送完了 hoàn tất ngày 2026-10-02</t>
        </is>
      </c>
      <c r="J64" s="70" t="inlineStr">
        <is>
          <t>Mở DA_ESDL_000_2 hoặc DA_ESDL_006, nút 「編集」 hiển thị. Theo v3 nút 「編集」 chỉ ở tab 陳列情報, không ở tab 基本情報 (OQ-35).</t>
        </is>
      </c>
      <c r="K64" s="70" t="inlineStr">
        <is>
          <t>ES配送便 hoàn tất 2026-10-02</t>
        </is>
      </c>
      <c r="L64" s="70" t="inlineStr">
        <is>
          <t>High</t>
        </is>
      </c>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inlineStr">
        <is>
          <t>TC-SHP-L3-064</t>
        </is>
      </c>
      <c r="C65" s="76" t="inlineStr">
        <is>
          <t>DA_LIST_003_COOL / Thẻ ES配送便 hoàn tất đúng 7 ngày trước (biên)</t>
        </is>
      </c>
      <c r="D65" s="70" t="inlineStr">
        <is>
          <t>Logic</t>
        </is>
      </c>
      <c r="E65" s="70" t="inlineStr">
        <is>
          <t>High</t>
        </is>
      </c>
      <c r="F65" s="70" t="inlineStr">
        <is>
          <t>RQ-E55; RQ-E61</t>
        </is>
      </c>
      <c r="G65" s="75" t="inlineStr">
        <is>
          <t>[UNCONFIRMED] Check thẻ ES配送便 hoàn tất đúng 7 ngày trước (2026-10-01) có còn nút 「編集」 hay không.</t>
        </is>
      </c>
      <c r="H65"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65" s="75" t="inlineStr">
        <is>
          <t>1. Mở Tab C
2. Bấm thẻ ES配送便 配送完了 hoàn tất ngày 2026-10-01</t>
        </is>
      </c>
      <c r="J65" s="70" t="inlineStr">
        <is>
          <t>Ghi nhận nút 「編集」 hiện hay ẩn. Tài liệu ghi 「7日以内」 và 「7日超」 nhưng ngày thứ 7 tính ở nhóm nào cần BA xác nhận.</t>
        </is>
      </c>
      <c r="K65" s="70" t="inlineStr">
        <is>
          <t>ES配送便 hoàn tất 2026-10-01</t>
        </is>
      </c>
      <c r="L65" s="70" t="inlineStr">
        <is>
          <t>High</t>
        </is>
      </c>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inlineStr">
        <is>
          <t>TC-SHP-L3-065</t>
        </is>
      </c>
      <c r="C66" s="76" t="inlineStr">
        <is>
          <t>DA_LIST_003_COOL / Thẻ ES配送便 hoàn tất 8 ngày trước</t>
        </is>
      </c>
      <c r="D66" s="70" t="inlineStr">
        <is>
          <t>Logic</t>
        </is>
      </c>
      <c r="E66" s="70" t="inlineStr">
        <is>
          <t>High</t>
        </is>
      </c>
      <c r="F66" s="70" t="inlineStr">
        <is>
          <t>AC-38; RQ-E55; RQ-E61</t>
        </is>
      </c>
      <c r="G66" s="75" t="inlineStr">
        <is>
          <t>Check thẻ ES配送便 hoàn tất 8 ngày trước (quá 7 ngày) mở chi tiết nhưng ẩn nút 「編集」.</t>
        </is>
      </c>
      <c r="H66"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66" s="75" t="inlineStr">
        <is>
          <t>1. Mở Tab C
2. Bấm thẻ ES配送便 配送完了 hoàn tất ngày 2026-09-30 (đặt khoảng 2026-09-25 đến 2026-10-15)</t>
        </is>
      </c>
      <c r="J66" s="75" t="inlineStr">
        <is>
          <t>Mở màn chi tiết ES chỉ đọc, nút 「編集」 không hiển thị.</t>
        </is>
      </c>
      <c r="K66" s="75" t="inlineStr">
        <is>
          <t>ES配送便 hoàn tất 2026-09-30</t>
        </is>
      </c>
      <c r="L66" s="75" t="inlineStr">
        <is>
          <t>High</t>
        </is>
      </c>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inlineStr">
        <is>
          <t>TC-SHP-L3-066</t>
        </is>
      </c>
      <c r="C67" s="75" t="inlineStr">
        <is>
          <t>DA_LIST_003_COOL / Thẻ COOL便 hoàn tất mở chỉ đọc</t>
        </is>
      </c>
      <c r="D67" s="70" t="inlineStr">
        <is>
          <t>Navigation</t>
        </is>
      </c>
      <c r="E67" s="70" t="inlineStr">
        <is>
          <t>High</t>
        </is>
      </c>
      <c r="F67" s="70" t="inlineStr">
        <is>
          <t>AC-38; RQ-E61; RQ-C07</t>
        </is>
      </c>
      <c r="G67" s="75" t="inlineStr">
        <is>
          <t>Check bấm thẻ COOL便 配送完了 thì mở chi tiết chỉ đọc kèm banner hoàn tất.</t>
        </is>
      </c>
      <c r="H67"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67" s="75" t="inlineStr">
        <is>
          <t>1. Mở Tab C
2. Bấm thẻ COOL便 配送完了 ngày 2026-10-06</t>
        </is>
      </c>
      <c r="J67" s="75" t="inlineStr">
        <is>
          <t>Mở DA_COOL_001 chỉ đọc, banner 「荷物の配送は完了しました。」, không có nút 「完了」, không tick được kiện.</t>
        </is>
      </c>
      <c r="K67" s="75" t="inlineStr">
        <is>
          <t>COOL便 配送完了 2026-10-06</t>
        </is>
      </c>
      <c r="L67" s="75" t="inlineStr">
        <is>
          <t>High</t>
        </is>
      </c>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inlineStr">
        <is>
          <t>TC-SHP-L3-067</t>
        </is>
      </c>
      <c r="C68" s="75" t="inlineStr">
        <is>
          <t>DA_LIST_003_COOL / Thẻ 配送完了 ngày tương lai mở chỉ đọc</t>
        </is>
      </c>
      <c r="D68" s="70" t="inlineStr">
        <is>
          <t>Navigation</t>
        </is>
      </c>
      <c r="E68" s="70" t="inlineStr">
        <is>
          <t>Medium</t>
        </is>
      </c>
      <c r="F68" s="70" t="inlineStr">
        <is>
          <t>AC-38; RQ-E61</t>
        </is>
      </c>
      <c r="G68" s="75" t="inlineStr">
        <is>
          <t>[UNCONFIRMED] Check bấm thẻ 配送完了 có ngày giao tương lai thì mở chỉ đọc (Basic Design có nhánh này nhưng chưa nêu đích màn).</t>
        </is>
      </c>
      <c r="H68"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68" s="75" t="inlineStr">
        <is>
          <t>1. Mở Tab C với khoảng 2026-10-08 đến 2026-10-15
2. Bấm thẻ 配送完了 ngày 2026-10-12</t>
        </is>
      </c>
      <c r="J68" s="75" t="inlineStr">
        <is>
          <t>Mở màn chi tiết ở chế độ chỉ đọc, không có nút thao tác. Đích màn chưa xác định.</t>
        </is>
      </c>
      <c r="K68" s="75" t="inlineStr">
        <is>
          <t>Thẻ 配送完了 2026-10-12</t>
        </is>
      </c>
      <c r="L68" s="75" t="inlineStr">
        <is>
          <t>Medium</t>
        </is>
      </c>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inlineStr">
        <is>
          <t>TC-SHP-L3-068</t>
        </is>
      </c>
      <c r="C69" s="75" t="inlineStr">
        <is>
          <t>DA_LIST_003_COOL / Thẻ bấm vào vùng trống của thẻ</t>
        </is>
      </c>
      <c r="D69" s="70" t="inlineStr">
        <is>
          <t>Navigation</t>
        </is>
      </c>
      <c r="E69" s="70" t="inlineStr">
        <is>
          <t>Medium</t>
        </is>
      </c>
      <c r="F69" s="70" t="inlineStr">
        <is>
          <t>AC-38</t>
        </is>
      </c>
      <c r="G69" s="75" t="inlineStr">
        <is>
          <t>Check toàn bộ vùng thẻ bấm được.</t>
        </is>
      </c>
      <c r="H69"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69" s="70" t="inlineStr">
        <is>
          <t>1. Mở Tab C
2. Bấm vào vùng trống bên phải dòng 品数 của thẻ COOL便 ngày 2026-10-06</t>
        </is>
      </c>
      <c r="J69" s="75" t="inlineStr">
        <is>
          <t>Mở DA_COOL_001 như khi bấm tên điểm giao.</t>
        </is>
      </c>
      <c r="K69" s="75" t="inlineStr">
        <is>
          <t>COOL便 2026-10-06</t>
        </is>
      </c>
      <c r="L69" s="75" t="inlineStr">
        <is>
          <t>Medium</t>
        </is>
      </c>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inlineStr">
        <is>
          <t>TC-SHP-L3-069</t>
        </is>
      </c>
      <c r="C70" s="75" t="inlineStr">
        <is>
          <t>DA_LIST_003_COOL / Thẻ bấm đúp liên tiếp</t>
        </is>
      </c>
      <c r="D70" s="70" t="inlineStr">
        <is>
          <t>Negative</t>
        </is>
      </c>
      <c r="E70" s="70" t="inlineStr">
        <is>
          <t>Medium</t>
        </is>
      </c>
      <c r="F70" s="70" t="inlineStr">
        <is>
          <t>AC-38</t>
        </is>
      </c>
      <c r="G70" s="70" t="inlineStr">
        <is>
          <t>Check bấm đúp nhanh vào thẻ chỉ mở một màn chi tiết.</t>
        </is>
      </c>
      <c r="H70"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70" s="70" t="inlineStr">
        <is>
          <t>1. Mở Tab C
2. Bấm đúp nhanh vào thẻ COOL便 ngày 2026-10-06</t>
        </is>
      </c>
      <c r="J70" s="70" t="inlineStr">
        <is>
          <t>Chỉ mở một màn DA_COOL_001, Back một lần về lại Tab C.</t>
        </is>
      </c>
      <c r="K70" s="70" t="inlineStr">
        <is>
          <t>COOL便 2026-10-06</t>
        </is>
      </c>
      <c r="L70" s="70" t="inlineStr">
        <is>
          <t>Medium</t>
        </is>
      </c>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inlineStr">
        <is>
          <t>TC-SHP-L3-070</t>
        </is>
      </c>
      <c r="C71" s="75" t="inlineStr">
        <is>
          <t>DA_LIST_003_COOL / Quay lại từ màn chi tiết giữ bộ lọc</t>
        </is>
      </c>
      <c r="D71" s="70" t="inlineStr">
        <is>
          <t>Navigation</t>
        </is>
      </c>
      <c r="E71" s="70" t="inlineStr">
        <is>
          <t>Medium</t>
        </is>
      </c>
      <c r="F71" s="70" t="inlineStr">
        <is>
          <t>AC-38</t>
        </is>
      </c>
      <c r="G71" s="75" t="inlineStr">
        <is>
          <t>[UNCONFIRMED] Check quay lại từ chi tiết thì Tab C còn giữ khoảng ngày và bộ lọc.</t>
        </is>
      </c>
      <c r="H71"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71" s="70" t="inlineStr">
        <is>
          <t>1. Mở Tab C, chọn 開始日 2026-10-01 và kho 「オージーフーズ倉庫」
2. Bấm một thẻ rồi bấm back 「＜」</t>
        </is>
      </c>
      <c r="J71" s="70" t="inlineStr">
        <is>
          <t>Quay về Tab C. Ghi nhận bộ lọc giữ hay đặt lại (tài liệu chưa nêu; COOL便 back không popup theo OQ-35).</t>
        </is>
      </c>
      <c r="K71" s="70" t="inlineStr">
        <is>
          <t>開始日 2026-10-01</t>
        </is>
      </c>
      <c r="L71" s="70" t="inlineStr">
        <is>
          <t>Medium</t>
        </is>
      </c>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inlineStr">
        <is>
          <t>TC-SHP-L3-071</t>
        </is>
      </c>
      <c r="C72" s="75" t="inlineStr">
        <is>
          <t>DA_LIST_003_COOL / Bottom nav ホーム</t>
        </is>
      </c>
      <c r="D72" s="70" t="inlineStr">
        <is>
          <t>Navigation</t>
        </is>
      </c>
      <c r="E72" s="70" t="inlineStr">
        <is>
          <t>Medium</t>
        </is>
      </c>
      <c r="F72" s="70" t="inlineStr">
        <is>
          <t>RQ-B30</t>
        </is>
      </c>
      <c r="G72" s="75" t="inlineStr">
        <is>
          <t>Check bấm 「ホーム」 ở bottom nav mở đúng màn.</t>
        </is>
      </c>
      <c r="H72"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72" s="75" t="inlineStr">
        <is>
          <t>1. Mở Tab C
2. Bấm 「ホーム」</t>
        </is>
      </c>
      <c r="J72" s="70" t="inlineStr">
        <is>
          <t>Mở DA_HOME_001.</t>
        </is>
      </c>
      <c r="K72" s="70" t="inlineStr">
        <is>
          <t>-</t>
        </is>
      </c>
      <c r="L72" s="70" t="inlineStr">
        <is>
          <t>Medium</t>
        </is>
      </c>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inlineStr">
        <is>
          <t>TC-SHP-L3-072</t>
        </is>
      </c>
      <c r="C73" s="75" t="inlineStr">
        <is>
          <t>DA_LIST_003_COOL / Bottom nav アカウント</t>
        </is>
      </c>
      <c r="D73" s="70" t="inlineStr">
        <is>
          <t>Navigation</t>
        </is>
      </c>
      <c r="E73" s="70" t="inlineStr">
        <is>
          <t>Medium</t>
        </is>
      </c>
      <c r="F73" s="70" t="inlineStr">
        <is>
          <t>RQ-B30</t>
        </is>
      </c>
      <c r="G73" s="75" t="inlineStr">
        <is>
          <t>Check bấm 「アカウント」 ở bottom nav mở đúng màn.</t>
        </is>
      </c>
      <c r="H73"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73" s="75" t="inlineStr">
        <is>
          <t>1. Mở Tab C
2. Bấm 「アカウント」</t>
        </is>
      </c>
      <c r="J73" s="75" t="inlineStr">
        <is>
          <t>Mở DA_HOME_005.</t>
        </is>
      </c>
      <c r="K73" s="75" t="inlineStr">
        <is>
          <t>-</t>
        </is>
      </c>
      <c r="L73" s="75" t="inlineStr">
        <is>
          <t>Medium</t>
        </is>
      </c>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inlineStr">
        <is>
          <t>TC-SHP-L3-073</t>
        </is>
      </c>
      <c r="C74" s="75" t="inlineStr">
        <is>
          <t>DA_LIST_003_COOL / Bottom nav 配送一覧</t>
        </is>
      </c>
      <c r="D74" s="70" t="inlineStr">
        <is>
          <t>Navigation</t>
        </is>
      </c>
      <c r="E74" s="70" t="inlineStr">
        <is>
          <t>Low</t>
        </is>
      </c>
      <c r="F74" s="70" t="inlineStr">
        <is>
          <t>RQ-B30</t>
        </is>
      </c>
      <c r="G74" s="75" t="inlineStr">
        <is>
          <t>Check bấm 「配送一覧」 khi đang ở Tab C giữ nguyên màn.</t>
        </is>
      </c>
      <c r="H74"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74" s="75" t="inlineStr">
        <is>
          <t>1. Mở Tab C
2. Bấm 「配送一覧」</t>
        </is>
      </c>
      <c r="J74" s="75" t="inlineStr">
        <is>
          <t>Giữ nguyên màn Tab C.</t>
        </is>
      </c>
      <c r="K74" s="75" t="inlineStr">
        <is>
          <t>-</t>
        </is>
      </c>
      <c r="L74" s="75" t="inlineStr">
        <is>
          <t>Low</t>
        </is>
      </c>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inlineStr">
        <is>
          <t>TC-SHP-L3-074</t>
        </is>
      </c>
      <c r="C75" s="75" t="inlineStr">
        <is>
          <t>DA_LIST_003_COOL / Bottom nav hiển thị 5 tab</t>
        </is>
      </c>
      <c r="D75" s="70" t="inlineStr">
        <is>
          <t>UI</t>
        </is>
      </c>
      <c r="E75" s="70" t="inlineStr">
        <is>
          <t>Medium</t>
        </is>
      </c>
      <c r="F75" s="70" t="inlineStr">
        <is>
          <t>RQ-B30</t>
        </is>
      </c>
      <c r="G75" s="75" t="inlineStr">
        <is>
          <t>[UNCONFIRMED] Check bottom nav có đủ 5 tab.</t>
        </is>
      </c>
      <c r="H75"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75" s="75" t="inlineStr">
        <is>
          <t>1. Mở Tab C
2. Quan sát bottom nav</t>
        </is>
      </c>
      <c r="J75" s="75" t="inlineStr">
        <is>
          <t>5 tab theo thứ tự 「ホーム」「マニュアル」「配送一覧」「トラブル」「アカウント」, kiểu tab chọn theo Figma (Basic Design ghi UNKNOWN).</t>
        </is>
      </c>
      <c r="K75" s="75" t="inlineStr">
        <is>
          <t>-</t>
        </is>
      </c>
      <c r="L75" s="75" t="inlineStr">
        <is>
          <t>Medium</t>
        </is>
      </c>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inlineStr">
        <is>
          <t>TC-SHP-L3-075</t>
        </is>
      </c>
      <c r="C76" s="75" t="inlineStr">
        <is>
          <t>DA_LIST_003_COOL / Bottom nav マニュアル</t>
        </is>
      </c>
      <c r="D76" s="75" t="inlineStr">
        <is>
          <t>Navigation</t>
        </is>
      </c>
      <c r="E76" s="75" t="inlineStr">
        <is>
          <t>Low</t>
        </is>
      </c>
      <c r="F76" s="75" t="inlineStr">
        <is>
          <t>RQ-B30; OQ-01</t>
        </is>
      </c>
      <c r="G76" s="75" t="inlineStr">
        <is>
          <t>[UNCONFIRMED] Check bấm 「マニュアル」 (màn đích chưa thiết kế).</t>
        </is>
      </c>
      <c r="H76"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76" s="75" t="inlineStr">
        <is>
          <t>1. Mở Tab C
2. Bấm 「マニュアル」</t>
        </is>
      </c>
      <c r="J76" s="75" t="inlineStr">
        <is>
          <t>Ghi nhận hành vi thực tế (OQ-01).</t>
        </is>
      </c>
      <c r="K76" s="75" t="inlineStr">
        <is>
          <t>-</t>
        </is>
      </c>
      <c r="L76" s="75" t="inlineStr">
        <is>
          <t>Low</t>
        </is>
      </c>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inlineStr">
        <is>
          <t>TC-SHP-L3-076</t>
        </is>
      </c>
      <c r="C77" s="75" t="inlineStr">
        <is>
          <t>DA_LIST_003_COOL / Bottom nav トラブル</t>
        </is>
      </c>
      <c r="D77" s="75" t="inlineStr">
        <is>
          <t>Navigation</t>
        </is>
      </c>
      <c r="E77" s="75" t="inlineStr">
        <is>
          <t>Low</t>
        </is>
      </c>
      <c r="F77" s="75" t="inlineStr">
        <is>
          <t>RQ-B30</t>
        </is>
      </c>
      <c r="G77" s="75" t="inlineStr">
        <is>
          <t>[UNCONFIRMED] Check bấm 「トラブル」 từ Tab C (SPEC chưa định nghĩa).</t>
        </is>
      </c>
      <c r="H77" s="70"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77" s="75" t="inlineStr">
        <is>
          <t>1. Mở Tab C
2. Bấm 「トラブル」</t>
        </is>
      </c>
      <c r="J77" s="75" t="inlineStr">
        <is>
          <t>Ghi nhận hành vi thực tế.</t>
        </is>
      </c>
      <c r="K77" s="75" t="inlineStr">
        <is>
          <t>-</t>
        </is>
      </c>
      <c r="L77" s="75" t="inlineStr">
        <is>
          <t>Low</t>
        </is>
      </c>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inlineStr">
        <is>
          <t>TC-SHP-L3-077</t>
        </is>
      </c>
      <c r="C78" s="80" t="inlineStr">
        <is>
          <t>DA_LIST_003_COOL / Kéo làm mới</t>
        </is>
      </c>
      <c r="D78" s="81" t="inlineStr">
        <is>
          <t>Mobile</t>
        </is>
      </c>
      <c r="E78" s="81" t="inlineStr">
        <is>
          <t>Medium</t>
        </is>
      </c>
      <c r="F78" s="81" t="inlineStr">
        <is>
          <t>OQ-10; AC-28</t>
        </is>
      </c>
      <c r="G78" s="81" t="inlineStr">
        <is>
          <t>Check kéo xuống để làm mới Tab C tải lại dữ liệu mà không cần tải lại trang.</t>
        </is>
      </c>
      <c r="H78" s="81"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78" s="81" t="inlineStr">
        <is>
          <t>1. Mở màn
2. Admin đổi trạng thái một thẻ ở hệ thống khác
3. Kéo xuống từ đầu danh sách rồi thả</t>
        </is>
      </c>
      <c r="J78" s="81" t="inlineStr">
        <is>
          <t>Hiện chỉ báo làm mới, danh sách tải lại và hiển thị trạng thái mới. Không có polling hay WebSocket tự cập nhật trước khi kéo.</t>
        </is>
      </c>
      <c r="K78" s="81" t="inlineStr">
        <is>
          <t>Thẻ đổi trạng thái</t>
        </is>
      </c>
      <c r="L78" s="81" t="inlineStr">
        <is>
          <t>Medium</t>
        </is>
      </c>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inlineStr">
        <is>
          <t>TC-SHP-L3-078</t>
        </is>
      </c>
      <c r="C79" s="80" t="inlineStr">
        <is>
          <t>DA_LIST_003_COOL / Bàn phím ảo khi nhập tìm kiếm</t>
        </is>
      </c>
      <c r="D79" s="81" t="inlineStr">
        <is>
          <t>Mobile</t>
        </is>
      </c>
      <c r="E79" s="81" t="inlineStr">
        <is>
          <t>Medium</t>
        </is>
      </c>
      <c r="F79" s="81" t="inlineStr">
        <is>
          <t>AC-31</t>
        </is>
      </c>
      <c r="G79" s="81" t="inlineStr">
        <is>
          <t>Check bàn phím ảo không che ô tìm kiếm khi đang nhập.</t>
        </is>
      </c>
      <c r="H79" s="81"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79" s="81" t="inlineStr">
        <is>
          <t>1. Mở màn
2. Bấm vào ô tìm kiếm</t>
        </is>
      </c>
      <c r="J79" s="81" t="inlineStr">
        <is>
          <t>Bàn phím ảo hiện và ô tìm kiếm vẫn nhìn thấy được, chữ nhập hiển thị.</t>
        </is>
      </c>
      <c r="K79" s="81" t="inlineStr">
        <is>
          <t>-</t>
        </is>
      </c>
      <c r="L79" s="81" t="inlineStr">
        <is>
          <t>Medium</t>
        </is>
      </c>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inlineStr">
        <is>
          <t>TC-SHP-L3-079</t>
        </is>
      </c>
      <c r="C80" s="80" t="inlineStr">
        <is>
          <t>DA_LIST_003_COOL / Xoay màn hình</t>
        </is>
      </c>
      <c r="D80" s="81" t="inlineStr">
        <is>
          <t>Mobile</t>
        </is>
      </c>
      <c r="E80" s="81" t="inlineStr">
        <is>
          <t>Low</t>
        </is>
      </c>
      <c r="F80" s="81" t="inlineStr">
        <is>
          <t>OQ-28</t>
        </is>
      </c>
      <c r="G80" s="81" t="inlineStr">
        <is>
          <t>Check xoay màn hình ngang rồi dọc không mất bộ lọc và không vỡ bố cục.</t>
        </is>
      </c>
      <c r="H80" s="81"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80" s="81" t="inlineStr">
        <is>
          <t>1. Mở màn, chọn một bộ lọc và nhập từ khoá
2. Xoay ngang rồi xoay dọc lại</t>
        </is>
      </c>
      <c r="J80" s="81" t="inlineStr">
        <is>
          <t>Bộ lọc và từ khoá giữ nguyên, bố cục không bị vỡ hay chồng đè.</t>
        </is>
      </c>
      <c r="K80" s="81" t="inlineStr">
        <is>
          <t>-</t>
        </is>
      </c>
      <c r="L80" s="81" t="inlineStr">
        <is>
          <t>Low</t>
        </is>
      </c>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inlineStr">
        <is>
          <t>TC-SHP-L3-080</t>
        </is>
      </c>
      <c r="C81" s="80" t="inlineStr">
        <is>
          <t>DA_LIST_003_COOL / Viewport 320px</t>
        </is>
      </c>
      <c r="D81" s="81" t="inlineStr">
        <is>
          <t>Mobile</t>
        </is>
      </c>
      <c r="E81" s="81" t="inlineStr">
        <is>
          <t>Medium</t>
        </is>
      </c>
      <c r="F81" s="81" t="inlineStr">
        <is>
          <t>OQ-28</t>
        </is>
      </c>
      <c r="G81" s="81" t="inlineStr">
        <is>
          <t>Check bố cục hiển thị đúng ở chiều rộng 320px.</t>
        </is>
      </c>
      <c r="H81" s="81"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81" s="81" t="inlineStr">
        <is>
          <t>1. Đặt viewport rộng 320px
2. Mở màn và cuộn toàn bộ danh sách</t>
        </is>
      </c>
      <c r="J81" s="81" t="inlineStr">
        <is>
          <t>Không có cuộn ngang, không bị cắt chữ ngoài quy tắc rút gọn, ô khoảng ngày, thanh tab, bộ lọc và bottom nav hiển thị đủ. Font không scale theo chiều rộng.</t>
        </is>
      </c>
      <c r="K81" s="81" t="inlineStr">
        <is>
          <t>320px</t>
        </is>
      </c>
      <c r="L81" s="81" t="inlineStr">
        <is>
          <t>Medium</t>
        </is>
      </c>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inlineStr">
        <is>
          <t>TC-SHP-L3-081</t>
        </is>
      </c>
      <c r="C82" s="80" t="inlineStr">
        <is>
          <t>DA_LIST_003_COOL / Viewport 480px</t>
        </is>
      </c>
      <c r="D82" s="81" t="inlineStr">
        <is>
          <t>Mobile</t>
        </is>
      </c>
      <c r="E82" s="81" t="inlineStr">
        <is>
          <t>Medium</t>
        </is>
      </c>
      <c r="F82" s="81" t="inlineStr">
        <is>
          <t>OQ-28</t>
        </is>
      </c>
      <c r="G82" s="81" t="inlineStr">
        <is>
          <t>Check bố cục hiển thị đúng ở chiều rộng 480px.</t>
        </is>
      </c>
      <c r="H82" s="81"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82" s="81" t="inlineStr">
        <is>
          <t>1. Đặt viewport rộng 480px
2. Mở màn và cuộn toàn bộ danh sách</t>
        </is>
      </c>
      <c r="J82" s="81" t="inlineStr">
        <is>
          <t>Không có cuộn ngang, không bị cắt chữ ngoài quy tắc rút gọn, ô khoảng ngày, thanh tab, bộ lọc và bottom nav hiển thị đủ. Font không scale theo chiều rộng.</t>
        </is>
      </c>
      <c r="K82" s="81" t="inlineStr">
        <is>
          <t>480px</t>
        </is>
      </c>
      <c r="L82" s="81" t="inlineStr">
        <is>
          <t>Medium</t>
        </is>
      </c>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inlineStr">
        <is>
          <t>TC-SHP-L3-082</t>
        </is>
      </c>
      <c r="C83" s="80" t="inlineStr">
        <is>
          <t>DA_LIST_003_COOL / Nút Back của trình duyệt</t>
        </is>
      </c>
      <c r="D83" s="81" t="inlineStr">
        <is>
          <t>Mobile</t>
        </is>
      </c>
      <c r="E83" s="81" t="inlineStr">
        <is>
          <t>Medium</t>
        </is>
      </c>
      <c r="F83" s="81" t="inlineStr">
        <is>
          <t>OQ-30</t>
        </is>
      </c>
      <c r="G83" s="81" t="inlineStr">
        <is>
          <t>[UNCONFIRMED] Check bấm nút Back của trình duyệt khi ở màn danh sách.</t>
        </is>
      </c>
      <c r="H83" s="81"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83" s="81" t="inlineStr">
        <is>
          <t>1. Từ Home bấm tab 「配送一覧」
2. Bấm nút Back của trình duyệt</t>
        </is>
      </c>
      <c r="J83" s="81" t="inlineStr">
        <is>
          <t>Quay về màn trước (Home). Ghi nhận hành vi khi đã đổi tab (Back về tab trước hay về Home).</t>
        </is>
      </c>
      <c r="K83" s="81" t="inlineStr">
        <is>
          <t>-</t>
        </is>
      </c>
      <c r="L83" s="81" t="inlineStr">
        <is>
          <t>Medium</t>
        </is>
      </c>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inlineStr">
        <is>
          <t>TC-SHP-L3-083</t>
        </is>
      </c>
      <c r="C84" s="80" t="inlineStr">
        <is>
          <t>DA_LIST_003_COOL / Tải lại trang F5</t>
        </is>
      </c>
      <c r="D84" s="81" t="inlineStr">
        <is>
          <t>Mobile</t>
        </is>
      </c>
      <c r="E84" s="81" t="inlineStr">
        <is>
          <t>Medium</t>
        </is>
      </c>
      <c r="F84" s="81" t="inlineStr">
        <is>
          <t>OQ-30</t>
        </is>
      </c>
      <c r="G84" s="81" t="inlineStr">
        <is>
          <t>[UNCONFIRMED] Check tải lại trang tại URL /deliveries.</t>
        </is>
      </c>
      <c r="H84" s="81"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84" s="81" t="inlineStr">
        <is>
          <t>1. Mở màn tại URL /deliveries
2. Chọn một bộ lọc rồi tải lại trang</t>
        </is>
      </c>
      <c r="J84" s="81" t="inlineStr">
        <is>
          <t>Trang tải lại đúng màn danh sách, giữ đăng nhập, khoảng ngày về mặc định 2026-10-08 đến 2026-10-15. Ghi nhận tab được chọn sau khi tải lại.</t>
        </is>
      </c>
      <c r="K84" s="81" t="inlineStr">
        <is>
          <t>/deliveries</t>
        </is>
      </c>
      <c r="L84" s="81" t="inlineStr">
        <is>
          <t>Medium</t>
        </is>
      </c>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inlineStr">
        <is>
          <t>TC-SHP-L3-084</t>
        </is>
      </c>
      <c r="C85" s="80" t="inlineStr">
        <is>
          <t>DA_LIST_003_COOL / Mất mạng khi tải danh sách</t>
        </is>
      </c>
      <c r="D85" s="81" t="inlineStr">
        <is>
          <t>Negative</t>
        </is>
      </c>
      <c r="E85" s="81" t="inlineStr">
        <is>
          <t>High</t>
        </is>
      </c>
      <c r="F85" s="81" t="inlineStr">
        <is>
          <t>COMMON_ENV_004; OQ-08</t>
        </is>
      </c>
      <c r="G85" s="81" t="inlineStr">
        <is>
          <t>[UNCONFIRMED] Check hiển thị khi mất mạng lúc tải danh sách.</t>
        </is>
      </c>
      <c r="H85" s="81"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85" s="81" t="inlineStr">
        <is>
          <t>1. Mở màn
2. Tắt kết nối mạng của thiết bị
3. Đổi 終了日 để tải lại danh sách</t>
        </is>
      </c>
      <c r="J85" s="81" t="inlineStr">
        <is>
          <t>Hiển thị thông báo COMMON_ENV_004 (câu chữ chưa chốt), cho phép thử lại, không crash màn.</t>
        </is>
      </c>
      <c r="K85" s="81" t="inlineStr">
        <is>
          <t>-</t>
        </is>
      </c>
      <c r="L85" s="81" t="inlineStr">
        <is>
          <t>High</t>
        </is>
      </c>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inlineStr">
        <is>
          <t>TC-SHP-L3-085</t>
        </is>
      </c>
      <c r="C86" s="80" t="inlineStr">
        <is>
          <t>DA_LIST_003_COOL / Lỗi server 5xx khi tải danh sách</t>
        </is>
      </c>
      <c r="D86" s="81" t="inlineStr">
        <is>
          <t>Negative</t>
        </is>
      </c>
      <c r="E86" s="81" t="inlineStr">
        <is>
          <t>High</t>
        </is>
      </c>
      <c r="F86" s="81" t="inlineStr">
        <is>
          <t>COMMON_SYS_006; OQ-08</t>
        </is>
      </c>
      <c r="G86" s="81" t="inlineStr">
        <is>
          <t>[UNCONFIRMED] Check hiển thị khi API danh sách trả lỗi 500.</t>
        </is>
      </c>
      <c r="H86" s="81"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86" s="81" t="inlineStr">
        <is>
          <t>1. Mở màn
2. Giả lập API danh sách trả HTTP 500
3. Đổi 終了日 để tải lại danh sách</t>
        </is>
      </c>
      <c r="J86" s="81" t="inlineStr">
        <is>
          <t>Hiển thị thông báo COMMON_SYS_006 (câu chữ chưa chốt), giữ bộ lọc đang chọn, cho phép thử lại.</t>
        </is>
      </c>
      <c r="K86" s="81" t="inlineStr">
        <is>
          <t>-</t>
        </is>
      </c>
      <c r="L86" s="81" t="inlineStr">
        <is>
          <t>High</t>
        </is>
      </c>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inlineStr">
        <is>
          <t>TC-SHP-L3-086</t>
        </is>
      </c>
      <c r="C87" s="80" t="inlineStr">
        <is>
          <t>DA_LIST_003_COOL / Session hết hạn khi tải danh sách</t>
        </is>
      </c>
      <c r="D87" s="81" t="inlineStr">
        <is>
          <t>Negative</t>
        </is>
      </c>
      <c r="E87" s="81" t="inlineStr">
        <is>
          <t>High</t>
        </is>
      </c>
      <c r="F87" s="81" t="inlineStr">
        <is>
          <t>COMMON_SYS_007; OQ-09</t>
        </is>
      </c>
      <c r="G87" s="81" t="inlineStr">
        <is>
          <t>[UNCONFIRMED] Check hiển thị khi session hết hạn lúc tải danh sách.</t>
        </is>
      </c>
      <c r="H87" s="81"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87" s="81" t="inlineStr">
        <is>
          <t>1. Mở màn
2. Xóa session hợp lệ của tài xế
3. Đổi 終了日 để tải lại danh sách</t>
        </is>
      </c>
      <c r="J87" s="81" t="inlineStr">
        <is>
          <t>Hiển thị thông báo COMMON_SYS_007 (câu chữ chưa chốt) và đưa về màn đăng nhập DA_AUTHEN_001.</t>
        </is>
      </c>
      <c r="K87" s="81" t="inlineStr">
        <is>
          <t>-</t>
        </is>
      </c>
      <c r="L87" s="81" t="inlineStr">
        <is>
          <t>High</t>
        </is>
      </c>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inlineStr">
        <is>
          <t>TC-SHP-L3-087</t>
        </is>
      </c>
      <c r="C88" s="75" t="inlineStr">
        <is>
          <t>DA_LIST_003_COOL / Truy cập URL khi chưa đăng nhập</t>
        </is>
      </c>
      <c r="D88" s="81" t="inlineStr">
        <is>
          <t>Security</t>
        </is>
      </c>
      <c r="E88" s="81" t="inlineStr">
        <is>
          <t>High</t>
        </is>
      </c>
      <c r="F88" s="81" t="inlineStr">
        <is>
          <t>OQ-30; OQ-09</t>
        </is>
      </c>
      <c r="G88" s="75" t="inlineStr">
        <is>
          <t>Check mở trực tiếp URL /deliveries khi chưa đăng nhập.</t>
        </is>
      </c>
      <c r="H88" s="81" t="inlineStr">
        <is>
          <t>Chưa đăng nhập, trình duyệt không có session.</t>
        </is>
      </c>
      <c r="I88" s="75" t="inlineStr">
        <is>
          <t>1. Mở trực tiếp URL /deliveries</t>
        </is>
      </c>
      <c r="J88" s="75" t="inlineStr">
        <is>
          <t>Không thấy dữ liệu danh sách, được chuyển về màn đăng nhập DA_AUTHEN_001.</t>
        </is>
      </c>
      <c r="K88" s="75" t="inlineStr">
        <is>
          <t>/deliveries</t>
        </is>
      </c>
      <c r="L88" s="75" t="inlineStr">
        <is>
          <t>High</t>
        </is>
      </c>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inlineStr">
        <is>
          <t>TC-SHP-L3-088</t>
        </is>
      </c>
      <c r="C89" s="75" t="inlineStr">
        <is>
          <t>DA_LIST_003_COOL / Dữ liệu đổi bởi admin khi đang xem</t>
        </is>
      </c>
      <c r="D89" s="81" t="inlineStr">
        <is>
          <t>Negative</t>
        </is>
      </c>
      <c r="E89" s="81" t="inlineStr">
        <is>
          <t>Low</t>
        </is>
      </c>
      <c r="F89" s="81" t="inlineStr">
        <is>
          <t>OQ-10</t>
        </is>
      </c>
      <c r="G89" s="75" t="inlineStr">
        <is>
          <t>[UNCONFIRMED] Check trạng thái thẻ không tự cập nhật khi admin đổi dữ liệu lúc tài xế đang xem.</t>
        </is>
      </c>
      <c r="H89" s="81" t="inlineStr">
        <is>
          <t>Tài xế DR00001 đã đăng nhập Mobile Web E06 (Safari iOS hoặc Chrome Android, viewport 390×844). Ngày hệ thống test cố định là 2026-10-08（木）. Đang ở Tab C 「配送完了」, seed có thẻ ES配送便 và COOL便 trạng thái 配送完了 trong khoảng 2026-09-25 đến 2026-10-15. Với TC dùng thẻ ngày quá khứ, trước hết đặt 開始日 2026-09-25 và 終了日 2026-10-15 (khoảng 20 ngày, hợp lệ).</t>
        </is>
      </c>
      <c r="I89" s="75" t="inlineStr">
        <is>
          <t>1. Mở màn và ghi lại trạng thái một thẻ
2. Admin đổi trạng thái thẻ đó
3. Chờ 60 giây không thao tác</t>
        </is>
      </c>
      <c r="J89" s="75" t="inlineStr">
        <is>
          <t>Danh sách không tự cập nhật (không polling). Chỉ cập nhật sau khi kéo làm mới hoặc tải lại. Xung đột không có thông báo riêng.</t>
        </is>
      </c>
      <c r="K89" s="75" t="inlineStr">
        <is>
          <t>-</t>
        </is>
      </c>
      <c r="L89" s="75" t="inlineStr">
        <is>
          <t>Low</t>
        </is>
      </c>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B2:D11"/>
  <sheetViews>
    <sheetView workbookViewId="0">
      <selection activeCell="A1" sqref="A1"/>
    </sheetView>
  </sheetViews>
  <sheetFormatPr baseColWidth="8" defaultColWidth="12.63" defaultRowHeight="15.75" customHeight="1"/>
  <cols>
    <col width="3.13" customWidth="1" style="93" min="1" max="1"/>
    <col width="55.38" customWidth="1" style="93" min="3" max="3"/>
    <col width="144.63" customWidth="1" style="93" min="4" max="4"/>
  </cols>
  <sheetData>
    <row r="2">
      <c r="B2" s="88" t="inlineStr">
        <is>
          <t>No</t>
        </is>
      </c>
      <c r="C2" s="88" t="inlineStr">
        <is>
          <t>Test Scenario</t>
        </is>
      </c>
      <c r="D2" s="89" t="inlineStr">
        <is>
          <t>Evidence</t>
        </is>
      </c>
    </row>
    <row r="3" ht="277.5" customHeight="1" s="93">
      <c r="B3" s="90" t="n"/>
      <c r="C3" s="91" t="n"/>
      <c r="D3" s="92" t="n"/>
    </row>
    <row r="4" ht="277.5" customHeight="1" s="93">
      <c r="B4" s="90" t="n"/>
      <c r="C4" s="91" t="n"/>
      <c r="D4" s="92" t="n"/>
    </row>
    <row r="5" ht="277.5" customHeight="1" s="93">
      <c r="B5" s="90" t="n"/>
      <c r="C5" s="91" t="n"/>
      <c r="D5" s="92" t="n"/>
    </row>
    <row r="6" ht="277.5" customHeight="1" s="93">
      <c r="B6" s="90" t="n"/>
      <c r="C6" s="91" t="n"/>
      <c r="D6" s="92" t="n"/>
    </row>
    <row r="7" ht="277.5" customHeight="1" s="93">
      <c r="B7" s="90" t="n"/>
      <c r="C7" s="91" t="n"/>
      <c r="D7" s="92" t="n"/>
    </row>
    <row r="8" ht="277.5" customHeight="1" s="93">
      <c r="B8" s="90" t="n"/>
      <c r="C8" s="91" t="n"/>
      <c r="D8" s="92" t="n"/>
    </row>
    <row r="9" ht="277.5" customHeight="1" s="93">
      <c r="B9" s="90" t="n"/>
      <c r="C9" s="91" t="n"/>
      <c r="D9" s="92" t="n"/>
    </row>
    <row r="10" ht="277.5" customHeight="1" s="93">
      <c r="B10" s="90" t="n"/>
      <c r="C10" s="91" t="n"/>
      <c r="D10" s="92" t="n"/>
    </row>
    <row r="11" ht="277.5" customHeight="1" s="93">
      <c r="B11" s="90" t="n"/>
      <c r="C11" s="91" t="n"/>
      <c r="D11" s="9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showGridLines="1" workbookViewId="0">
      <selection activeCell="A1" sqref="A1"/>
    </sheetView>
  </sheetViews>
  <sheetFormatPr baseColWidth="8" defaultRowHeight="15"/>
  <cols>
    <col width="55" customWidth="1" style="93" min="1" max="1"/>
  </cols>
  <sheetData>
    <row r="1">
      <c r="A1" s="102" t="inlineStr">
        <is>
          <t>Nhóm Figma SHIP (group `34199:211571`), 3 màn: `DA_LIST_001_Kho` (Tab A 倉庫受取), `DA_LIST_002_ES` (Tab B 未配送), `DA_LIST_003_COOL` (Tab C 配送完了). Ngày hệ thống test cố định 2026-10-08（木）. Rule v3 (OQ-06, OQ-35) lấy từ legend `20274:174988`.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2"/>
  <sheetViews>
    <sheetView showGridLines="1" workbookViewId="0">
      <pane ySplit="1" topLeftCell="A2" activePane="bottomLeft" state="frozen"/>
      <selection pane="bottomLeft" activeCell="A1" sqref="A1"/>
    </sheetView>
  </sheetViews>
  <sheetFormatPr baseColWidth="8" defaultRowHeight="15"/>
  <cols>
    <col width="26.4" customWidth="1" style="93" min="1" max="1"/>
    <col width="55" customWidth="1" style="93" min="2" max="2"/>
    <col width="35.2" customWidth="1" style="93" min="3" max="3"/>
  </cols>
  <sheetData>
    <row r="1" ht="24" customHeight="1" s="93">
      <c r="A1" s="103" t="inlineStr">
        <is>
          <t>Dữ liệu</t>
        </is>
      </c>
      <c r="B1" s="103" t="inlineStr">
        <is>
          <t>Giá trị</t>
        </is>
      </c>
      <c r="C1" s="103" t="inlineStr">
        <is>
          <t>Dùng cho TC</t>
        </is>
      </c>
    </row>
    <row r="2">
      <c r="A2" s="104" t="inlineStr">
        <is>
          <t>Ngày hệ thống</t>
        </is>
      </c>
      <c r="B2" s="104" t="inlineStr">
        <is>
          <t>2026-10-08（木）, mặc định 開始日 2026-10-08, 終了日 2026-10-15</t>
        </is>
      </c>
      <c r="C2" s="104" t="inlineStr">
        <is>
          <t>Toàn bộ TC</t>
        </is>
      </c>
    </row>
    <row r="3">
      <c r="A3" s="104" t="inlineStr">
        <is>
          <t>Biên khoảng ngày</t>
        </is>
      </c>
      <c r="B3" s="104" t="inlineStr">
        <is>
          <t>終了日 2026-10-07 (lỗi ①), 2026-10-08 (hợp lệ), 2026-11-08 (31 ngày, hợp lệ), 2026-11-09 (32 ngày, lỗi ②)</t>
        </is>
      </c>
      <c r="C3" s="104" t="inlineStr">
        <is>
          <t>TC-SHP-L1/L2/L3 nhóm date picker</t>
        </is>
      </c>
    </row>
    <row r="4">
      <c r="A4" s="104" t="inlineStr">
        <is>
          <t>Tài khoản</t>
        </is>
      </c>
      <c r="B4" s="104" t="inlineStr">
        <is>
          <t>ログインID DR00001</t>
        </is>
      </c>
      <c r="C4" s="104" t="inlineStr">
        <is>
          <t>Toàn bộ TC</t>
        </is>
      </c>
    </row>
    <row r="5">
      <c r="A5" s="104" t="inlineStr">
        <is>
          <t>Seed Tab A</t>
        </is>
      </c>
      <c r="B5" s="104" t="inlineStr">
        <is>
          <t>オージーフーズ倉庫 trạng thái 未受取 / 受取済 / トラブル ngày 2026-10-08 và 2026-10-09; 未受取 ngày 2026-10-07 (quá khứ) và 2026-10-12 (tương lai); thẻ chưa picking; thẻ chưa import mã vận đơn; thẻ tên kho dài 52 ký tự; 45 thẻ cho phân trang</t>
        </is>
      </c>
      <c r="C5" s="104" t="inlineStr">
        <is>
          <t>TC-SHP-L1</t>
        </is>
      </c>
    </row>
    <row r="6">
      <c r="A6" s="104" t="inlineStr">
        <is>
          <t>Seed Tab B</t>
        </is>
      </c>
      <c r="B6" s="104" t="inlineStr">
        <is>
          <t>ES配送便 未配送 2026-10-08 điểm 大和インターナショナルトレーディング株式会社 (kho オージーフーズ倉庫); 富士フィナンシャルアドバイザリー株式会社 (địa chỉ dài); ES配送便 未配送 2026-10-12; ES配送便 トラブル; COOL便 未配送 2026-10-08 và 2026-10-12; COOL便 トラブル; 45 thẻ phân trang; trung chuyển QC_中継センター東京</t>
        </is>
      </c>
      <c r="C6" s="104" t="inlineStr">
        <is>
          <t>TC-SHP-L2</t>
        </is>
      </c>
    </row>
    <row r="7">
      <c r="A7" s="104" t="inlineStr">
        <is>
          <t>Seed Tab C</t>
        </is>
      </c>
      <c r="B7" s="104" t="inlineStr">
        <is>
          <t>ES配送便 配送完了 hoàn tất 2026-10-02 (6 ngày), 2026-10-01 (7 ngày), 2026-09-30 (8 ngày); COOL便 配送完了 2026-10-06; thẻ 配送完了 ngày 2026-10-12; 45 thẻ phân trang</t>
        </is>
      </c>
      <c r="C7" s="104" t="inlineStr">
        <is>
          <t>TC-SHP-L3</t>
        </is>
      </c>
    </row>
    <row r="8">
      <c r="A8" s="104" t="inlineStr">
        <is>
          <t>Chuỗi tìm kiếm</t>
        </is>
      </c>
      <c r="B8" s="104" t="inlineStr">
        <is>
          <t>`オージー`, `大和インター`, `渋谷区1-2-3`, `QC_該当なし999`, 255 và 256 ký tự `a`</t>
        </is>
      </c>
      <c r="C8" s="104" t="inlineStr">
        <is>
          <t>TC-SHP-L1/L2/L3 nhóm ô tìm kiếm</t>
        </is>
      </c>
    </row>
    <row r="9">
      <c r="A9" s="104" t="inlineStr">
        <is>
          <t>Chuỗi bảo mật</t>
        </is>
      </c>
      <c r="B9" s="104" t="inlineStr">
        <is>
          <t>`&lt;script&gt;alert(1)&lt;/script&gt;`, `' OR '1'='1`, emoji `😀`, kana nửa chiều `ｵｰｼﾞｰ`, khoảng trắng đầu cuối</t>
        </is>
      </c>
      <c r="C9" s="104" t="inlineStr">
        <is>
          <t>TC-SHP-L1/L2/L3 nhóm ô tìm kiếm</t>
        </is>
      </c>
    </row>
    <row r="10">
      <c r="A10" s="104" t="inlineStr">
        <is>
          <t>Ngày không có dữ liệu</t>
        </is>
      </c>
      <c r="B10" s="104" t="inlineStr">
        <is>
          <t>2027-01-04 đến 2027-01-11</t>
        </is>
      </c>
      <c r="C10" s="104" t="inlineStr">
        <is>
          <t>TC empty state</t>
        </is>
      </c>
    </row>
    <row r="11">
      <c r="A11" s="104" t="inlineStr">
        <is>
          <t>Địa chỉ dài</t>
        </is>
      </c>
      <c r="B11" s="104" t="inlineStr">
        <is>
          <t>東京都中央区八重洲二丁目８番７号 東京ミッドタウン八重洲八重洲セントラルタワー２３階 株式会社大和インターナショナルトレーディング 東京本社ビジネスソリューション事業部</t>
        </is>
      </c>
      <c r="C11" s="104" t="inlineStr">
        <is>
          <t>TC-SHP-L2/L3 thẻ địa chỉ</t>
        </is>
      </c>
    </row>
    <row r="12">
      <c r="A12" s="104" t="inlineStr">
        <is>
          <t>Số điện thoại ES Kitchen</t>
        </is>
      </c>
      <c r="B12" s="104" t="inlineStr">
        <is>
          <t>050-5784-2777</t>
        </is>
      </c>
      <c r="C12" s="104" t="inlineStr">
        <is>
          <t>Không dùng trong nhóm màn này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2026-10-08T08:57:44Z</dcterms:created>
  <dcterms:modified xmlns:dcterms="http://purl.org/dc/terms/" xmlns:xsi="http://www.w3.org/2001/XMLSchema-instance" xsi:type="dcterms:W3CDTF">2026-10-08T08:57:44Z</dcterms:modified>
</cp:coreProperties>
</file>