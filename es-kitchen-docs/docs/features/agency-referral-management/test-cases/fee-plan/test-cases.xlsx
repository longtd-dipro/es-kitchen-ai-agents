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est view point" sheetId="1" state="visible" r:id="rId1"/>
    <sheet name="Summary" sheetId="2" state="visible" r:id="rId2"/>
    <sheet name="AW_FEPL_001" sheetId="3" state="visible" r:id="rId3"/>
    <sheet name="AW_FEPL_002" sheetId="4" state="visible" r:id="rId4"/>
    <sheet name="AW_FEPL_003" sheetId="5" state="visible" r:id="rId5"/>
    <sheet name="AW_FEPL_004" sheetId="6" state="visible" r:id="rId6"/>
    <sheet name="AW_FEPL_005" sheetId="7" state="visible" r:id="rId7"/>
    <sheet name="AW_FEPL_006" sheetId="8" state="visible" r:id="rId8"/>
    <sheet name="Screen name_evidence" sheetId="9" state="visible" r:id="rId9"/>
    <sheet name="Test Cases — Module `fee-plan`"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mm/dd/yyyy"/>
  </numFmts>
  <fonts count="18">
    <font>
      <name val="Arial"/>
      <color rgb="FF000000"/>
      <sz val="10"/>
      <scheme val="minor"/>
    </font>
    <font>
      <name val="Arial"/>
      <color theme="1"/>
      <scheme val="minor"/>
    </font>
    <font>
      <name val="Arial"/>
      <color theme="1"/>
    </font>
    <font>
      <name val="Arial"/>
      <b val="1"/>
      <color theme="1"/>
    </font>
    <font/>
    <font>
      <name val="Arial"/>
      <color rgb="FFFFFFFF"/>
      <sz val="12"/>
      <scheme val="minor"/>
    </font>
    <font>
      <name val="Arial"/>
      <color rgb="FF000000"/>
      <scheme val="minor"/>
    </font>
    <font>
      <name val="Arial"/>
      <color rgb="FF0000FF"/>
      <u val="single"/>
    </font>
    <font>
      <name val="&quot;Google Sans&quot;"/>
      <color rgb="FF222222"/>
      <sz val="11"/>
    </font>
    <font>
      <name val="Arial"/>
      <color rgb="FF000000"/>
    </font>
    <font>
      <name val="Arial"/>
      <b val="1"/>
      <color theme="1"/>
      <scheme val="minor"/>
    </font>
    <font>
      <name val="Arial"/>
      <color theme="1"/>
      <sz val="10"/>
      <scheme val="minor"/>
    </font>
    <font>
      <name val="Arial"/>
      <b val="1"/>
      <color theme="1"/>
      <sz val="10"/>
      <scheme val="minor"/>
    </font>
    <font>
      <name val="Arial"/>
      <color theme="1"/>
      <sz val="9"/>
      <scheme val="minor"/>
    </font>
    <font>
      <name val="Arial"/>
      <color theme="1"/>
      <sz val="11"/>
      <scheme val="minor"/>
    </font>
    <font>
      <name val="Arial"/>
      <b val="1"/>
      <color theme="1"/>
      <sz val="11"/>
    </font>
    <font>
      <name val="Arial"/>
      <b val="1"/>
      <color theme="1"/>
      <sz val="12"/>
      <scheme val="minor"/>
    </font>
    <font>
      <i val="1"/>
      <color rgb="00555555"/>
      <sz val="10"/>
    </font>
  </fonts>
  <fills count="6">
    <fill>
      <patternFill/>
    </fill>
    <fill>
      <patternFill patternType="lightGray"/>
    </fill>
    <fill>
      <patternFill patternType="solid">
        <fgColor theme="9"/>
        <bgColor theme="9"/>
      </patternFill>
    </fill>
    <fill>
      <patternFill patternType="solid">
        <fgColor rgb="FFFFFFFF"/>
        <bgColor rgb="FFFFFFFF"/>
      </patternFill>
    </fill>
    <fill>
      <patternFill patternType="solid">
        <fgColor rgb="FF46BDC6"/>
        <bgColor rgb="FF46BDC6"/>
      </patternFill>
    </fill>
    <fill>
      <patternFill patternType="solid">
        <fgColor theme="0"/>
        <bgColor theme="0"/>
      </patternFill>
    </fill>
  </fills>
  <borders count="25">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medium">
        <color rgb="FF000000"/>
      </bottom>
    </border>
    <border>
      <right style="thin">
        <color rgb="FF000000"/>
      </right>
      <top style="medium">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tted">
        <color rgb="FF46BDC6"/>
      </left>
      <right style="dotted">
        <color rgb="FF46BDC6"/>
      </right>
      <top style="dotted">
        <color rgb="FF46BDC6"/>
      </top>
    </border>
    <border>
      <left style="dotted">
        <color rgb="FF46BDC6"/>
      </left>
      <top style="dotted">
        <color rgb="FF46BDC6"/>
      </top>
    </border>
    <border>
      <left style="thin">
        <color rgb="FFFFFFFF"/>
      </left>
      <right style="thin">
        <color rgb="FFFFFFFF"/>
      </right>
      <top style="thin">
        <color rgb="FFFFFFFF"/>
      </top>
      <bottom style="thin">
        <color rgb="FFFFFFFF"/>
      </bottom>
    </border>
    <border>
      <left style="thin">
        <color rgb="FF46BDC6"/>
      </left>
      <right style="thin">
        <color rgb="FF46BDC6"/>
      </right>
      <top style="thin">
        <color rgb="FF46BDC6"/>
      </top>
      <bottom style="thin">
        <color rgb="FF46BDC6"/>
      </bottom>
    </border>
    <border>
      <left style="thin">
        <color rgb="FF46BDC6"/>
      </left>
      <right style="thin">
        <color rgb="FF46BDC6"/>
      </right>
      <bottom style="thin">
        <color rgb="FF46BDC6"/>
      </bottom>
    </border>
    <border>
      <left style="thin">
        <color rgb="FF000000"/>
      </left>
      <top style="thin">
        <color rgb="FF000000"/>
      </top>
      <bottom style="thin">
        <color rgb="FF000000"/>
      </bottom>
    </border>
    <border>
      <top style="thin">
        <color rgb="FFFFFFFF"/>
      </top>
    </border>
    <border>
      <right style="thin">
        <color rgb="FFFFFFFF"/>
      </right>
      <top style="thin">
        <color rgb="FFFFFFFF"/>
      </top>
    </border>
  </borders>
  <cellStyleXfs count="1">
    <xf numFmtId="0" fontId="0" fillId="0" borderId="0"/>
  </cellStyleXfs>
  <cellXfs count="103">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wrapText="1"/>
    </xf>
    <xf numFmtId="0" fontId="2" fillId="0" borderId="5" applyAlignment="1" pivotButton="0" quotePrefix="0" xfId="0">
      <alignment horizontal="center" vertical="center"/>
    </xf>
    <xf numFmtId="0" fontId="3" fillId="0" borderId="2" applyAlignment="1" pivotButton="0" quotePrefix="0" xfId="0">
      <alignment vertical="center" wrapText="1"/>
    </xf>
    <xf numFmtId="0" fontId="2" fillId="0" borderId="6" applyAlignment="1" pivotButton="0" quotePrefix="0" xfId="0">
      <alignment vertical="center" wrapText="1"/>
    </xf>
    <xf numFmtId="0" fontId="4" fillId="0" borderId="2" pivotButton="0" quotePrefix="0" xfId="0"/>
    <xf numFmtId="0" fontId="2" fillId="0" borderId="6" applyAlignment="1" pivotButton="0" quotePrefix="0" xfId="0">
      <alignment vertical="center" wrapText="1"/>
    </xf>
    <xf numFmtId="0" fontId="2" fillId="3" borderId="6" applyAlignment="1" pivotButton="0" quotePrefix="0" xfId="0">
      <alignment vertical="center" wrapText="1"/>
    </xf>
    <xf numFmtId="0" fontId="2" fillId="3" borderId="6" applyAlignment="1" pivotButton="0" quotePrefix="0" xfId="0">
      <alignment vertical="center" wrapText="1"/>
    </xf>
    <xf numFmtId="0" fontId="2" fillId="0" borderId="7" applyAlignment="1" pivotButton="0" quotePrefix="0" xfId="0">
      <alignment horizontal="center" vertical="center"/>
    </xf>
    <xf numFmtId="0" fontId="4" fillId="0" borderId="6" pivotButton="0" quotePrefix="0" xfId="0"/>
    <xf numFmtId="0" fontId="2" fillId="3" borderId="3" applyAlignment="1" pivotButton="0" quotePrefix="0" xfId="0">
      <alignment vertical="center" wrapText="1"/>
    </xf>
    <xf numFmtId="0" fontId="2" fillId="0" borderId="8" applyAlignment="1" pivotButton="0" quotePrefix="0" xfId="0">
      <alignment horizontal="center" vertical="center"/>
    </xf>
    <xf numFmtId="0" fontId="2" fillId="0" borderId="8"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horizontal="center" vertical="center"/>
    </xf>
    <xf numFmtId="0" fontId="2" fillId="0" borderId="6" applyAlignment="1" pivotButton="0" quotePrefix="0" xfId="0">
      <alignment vertical="center" wrapText="1"/>
    </xf>
    <xf numFmtId="0" fontId="2" fillId="0" borderId="2" applyAlignment="1" pivotButton="0" quotePrefix="0" xfId="0">
      <alignment vertical="center" wrapText="1"/>
    </xf>
    <xf numFmtId="0" fontId="3" fillId="3"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wrapText="1"/>
    </xf>
    <xf numFmtId="0" fontId="2" fillId="0" borderId="10" applyAlignment="1" pivotButton="0" quotePrefix="0" xfId="0">
      <alignment horizontal="center" vertical="center"/>
    </xf>
    <xf numFmtId="0" fontId="2" fillId="0" borderId="7" applyAlignment="1" pivotButton="0" quotePrefix="0" xfId="0">
      <alignment wrapText="1"/>
    </xf>
    <xf numFmtId="0" fontId="2" fillId="0" borderId="3" applyAlignment="1" pivotButton="0" quotePrefix="0" xfId="0">
      <alignment wrapText="1"/>
    </xf>
    <xf numFmtId="0" fontId="2" fillId="0" borderId="7" applyAlignment="1" pivotButton="0" quotePrefix="0" xfId="0">
      <alignment wrapText="1"/>
    </xf>
    <xf numFmtId="0" fontId="2" fillId="3" borderId="9" applyAlignment="1" pivotButton="0" quotePrefix="0" xfId="0">
      <alignment vertical="center" wrapText="1"/>
    </xf>
    <xf numFmtId="0" fontId="2" fillId="3" borderId="2" applyAlignment="1" pivotButton="0" quotePrefix="0" xfId="0">
      <alignment vertical="center" wrapText="1"/>
    </xf>
    <xf numFmtId="0" fontId="2" fillId="0" borderId="11" applyAlignment="1" pivotButton="0" quotePrefix="0" xfId="0">
      <alignment vertical="center" wrapText="1"/>
    </xf>
    <xf numFmtId="0" fontId="2" fillId="0" borderId="12" applyAlignment="1" pivotButton="0" quotePrefix="0" xfId="0">
      <alignment horizontal="center" vertical="center"/>
    </xf>
    <xf numFmtId="0" fontId="2" fillId="0" borderId="13" applyAlignment="1" pivotButton="0" quotePrefix="0" xfId="0">
      <alignment vertical="center" wrapText="1"/>
    </xf>
    <xf numFmtId="0" fontId="3" fillId="0" borderId="9" applyAlignment="1" pivotButton="0" quotePrefix="0" xfId="0">
      <alignment vertical="center" wrapText="1"/>
    </xf>
    <xf numFmtId="0" fontId="1" fillId="0" borderId="0" applyAlignment="1" pivotButton="0" quotePrefix="0" xfId="0">
      <alignment horizontal="center"/>
    </xf>
    <xf numFmtId="0" fontId="5" fillId="2" borderId="14" applyAlignment="1" pivotButton="0" quotePrefix="0" xfId="0">
      <alignment horizontal="center" vertical="center"/>
    </xf>
    <xf numFmtId="0" fontId="4" fillId="0" borderId="15" pivotButton="0" quotePrefix="0" xfId="0"/>
    <xf numFmtId="0" fontId="4" fillId="0" borderId="16" pivotButton="0" quotePrefix="0" xfId="0"/>
    <xf numFmtId="0" fontId="5" fillId="2" borderId="14" applyAlignment="1" pivotButton="0" quotePrefix="0" xfId="0">
      <alignment horizontal="center" wrapText="1"/>
    </xf>
    <xf numFmtId="0" fontId="5" fillId="2" borderId="17" applyAlignment="1" pivotButton="0" quotePrefix="0" xfId="0">
      <alignment horizontal="center"/>
    </xf>
    <xf numFmtId="0" fontId="5" fillId="2" borderId="18" applyAlignment="1" pivotButton="0" quotePrefix="0" xfId="0">
      <alignment horizontal="center"/>
    </xf>
    <xf numFmtId="0" fontId="5" fillId="2" borderId="19" applyAlignment="1" pivotButton="0" quotePrefix="0" xfId="0">
      <alignment horizontal="center"/>
    </xf>
    <xf numFmtId="0" fontId="6" fillId="0" borderId="20" applyAlignment="1" pivotButton="0" quotePrefix="0" xfId="0">
      <alignment horizontal="center"/>
    </xf>
    <xf numFmtId="0" fontId="7" fillId="3" borderId="20" applyAlignment="1" pivotButton="0" quotePrefix="0" xfId="0">
      <alignment horizontal="center"/>
    </xf>
    <xf numFmtId="0" fontId="1" fillId="0" borderId="20" applyAlignment="1" pivotButton="0" quotePrefix="0" xfId="0">
      <alignment horizontal="center"/>
    </xf>
    <xf numFmtId="0" fontId="1" fillId="0" borderId="21" applyAlignment="1" pivotButton="0" quotePrefix="0" xfId="0">
      <alignment horizontal="center"/>
    </xf>
    <xf numFmtId="164" fontId="1" fillId="0" borderId="21" applyAlignment="1" pivotButton="0" quotePrefix="0" xfId="0">
      <alignment horizontal="center"/>
    </xf>
    <xf numFmtId="0" fontId="8" fillId="0" borderId="20" applyAlignment="1" pivotButton="0" quotePrefix="0" xfId="0">
      <alignment horizontal="center"/>
    </xf>
    <xf numFmtId="0" fontId="9" fillId="3" borderId="20" applyAlignment="1" pivotButton="0" quotePrefix="0" xfId="0">
      <alignment horizontal="center"/>
    </xf>
    <xf numFmtId="0" fontId="10" fillId="4" borderId="3" applyAlignment="1" pivotButton="0" quotePrefix="0" xfId="0">
      <alignment horizontal="center" vertical="center" wrapText="1"/>
    </xf>
    <xf numFmtId="0" fontId="10" fillId="4" borderId="3" applyAlignment="1" pivotButton="0" quotePrefix="0" xfId="0">
      <alignment horizontal="center" vertical="center" wrapText="1"/>
    </xf>
    <xf numFmtId="0" fontId="11" fillId="0" borderId="3" applyAlignment="1" pivotButton="0" quotePrefix="0" xfId="0">
      <alignment vertical="center"/>
    </xf>
    <xf numFmtId="0" fontId="1" fillId="0" borderId="3" applyAlignment="1" pivotButton="0" quotePrefix="0" xfId="0">
      <alignment vertical="center"/>
    </xf>
    <xf numFmtId="0" fontId="11" fillId="3" borderId="3" applyAlignment="1" pivotButton="0" quotePrefix="0" xfId="0">
      <alignment horizontal="center" vertical="center"/>
    </xf>
    <xf numFmtId="0" fontId="12" fillId="3" borderId="3" applyAlignment="1" pivotButton="0" quotePrefix="0" xfId="0">
      <alignment horizontal="center" vertical="center"/>
    </xf>
    <xf numFmtId="0" fontId="1" fillId="0" borderId="3" applyAlignment="1" pivotButton="0" quotePrefix="0" xfId="0">
      <alignment wrapText="1"/>
    </xf>
    <xf numFmtId="0" fontId="1" fillId="0" borderId="3" pivotButton="0" quotePrefix="0" xfId="0"/>
    <xf numFmtId="0" fontId="1" fillId="0" borderId="3" applyAlignment="1" pivotButton="0" quotePrefix="0" xfId="0">
      <alignment wrapText="1"/>
    </xf>
    <xf numFmtId="0" fontId="11" fillId="0" borderId="3" applyAlignment="1" pivotButton="0" quotePrefix="0" xfId="0">
      <alignment horizontal="left" vertical="center" wrapText="1"/>
    </xf>
    <xf numFmtId="0" fontId="13" fillId="0" borderId="3" applyAlignment="1" pivotButton="0" quotePrefix="0" xfId="0">
      <alignment horizontal="center" vertical="center"/>
    </xf>
    <xf numFmtId="165" fontId="13" fillId="0" borderId="3" applyAlignment="1" pivotButton="0" quotePrefix="0" xfId="0">
      <alignment horizontal="center" vertical="center" wrapText="1"/>
    </xf>
    <xf numFmtId="0" fontId="1" fillId="0" borderId="3" applyAlignment="1" pivotButton="0" quotePrefix="0" xfId="0">
      <alignment vertical="center" wrapText="1"/>
    </xf>
    <xf numFmtId="0" fontId="11" fillId="0" borderId="3" applyAlignment="1" pivotButton="0" quotePrefix="0" xfId="0">
      <alignment horizontal="left" vertical="center"/>
    </xf>
    <xf numFmtId="0" fontId="1" fillId="0" borderId="3" applyAlignment="1" pivotButton="0" quotePrefix="0" xfId="0">
      <alignment horizontal="left" vertical="center"/>
    </xf>
    <xf numFmtId="0" fontId="11" fillId="0" borderId="3" applyAlignment="1" pivotButton="0" quotePrefix="0" xfId="0">
      <alignment horizontal="left" vertical="center" wrapText="1"/>
    </xf>
    <xf numFmtId="0" fontId="1" fillId="0" borderId="3" pivotButton="0" quotePrefix="0" xfId="0"/>
    <xf numFmtId="0" fontId="1" fillId="0" borderId="3" applyAlignment="1" pivotButton="0" quotePrefix="0" xfId="0">
      <alignment vertical="center" wrapText="1"/>
    </xf>
    <xf numFmtId="0" fontId="11" fillId="0" borderId="3" applyAlignment="1" pivotButton="0" quotePrefix="0" xfId="0">
      <alignment vertical="center" wrapText="1"/>
    </xf>
    <xf numFmtId="0" fontId="14" fillId="0" borderId="3" applyAlignment="1" pivotButton="0" quotePrefix="0" xfId="0">
      <alignment horizontal="left" vertical="center" wrapText="1"/>
    </xf>
    <xf numFmtId="0" fontId="11" fillId="0" borderId="3" applyAlignment="1" pivotButton="0" quotePrefix="0" xfId="0">
      <alignment vertical="center" wrapText="1"/>
    </xf>
    <xf numFmtId="0" fontId="14" fillId="0" borderId="3" applyAlignment="1" pivotButton="0" quotePrefix="0" xfId="0">
      <alignment vertical="center" wrapText="1"/>
    </xf>
    <xf numFmtId="0" fontId="11" fillId="3" borderId="3" applyAlignment="1" pivotButton="0" quotePrefix="0" xfId="0">
      <alignment vertical="center" wrapText="1"/>
    </xf>
    <xf numFmtId="0" fontId="11" fillId="0" borderId="3" applyAlignment="1" pivotButton="0" quotePrefix="0" xfId="0">
      <alignment vertical="bottom"/>
    </xf>
    <xf numFmtId="0" fontId="11" fillId="5" borderId="3" applyAlignment="1" pivotButton="0" quotePrefix="0" xfId="0">
      <alignment vertical="center" wrapText="1"/>
    </xf>
    <xf numFmtId="0" fontId="1" fillId="3" borderId="3" applyAlignment="1" pivotButton="0" quotePrefix="0" xfId="0">
      <alignment vertical="center" wrapText="1"/>
    </xf>
    <xf numFmtId="0" fontId="1" fillId="0" borderId="3" applyAlignment="1" pivotButton="0" quotePrefix="0" xfId="0">
      <alignment vertical="center" wrapText="1"/>
    </xf>
    <xf numFmtId="0" fontId="11" fillId="0" borderId="3" applyAlignment="1" pivotButton="0" quotePrefix="0" xfId="0">
      <alignment horizontal="center" vertical="center"/>
    </xf>
    <xf numFmtId="0" fontId="12" fillId="0" borderId="3" applyAlignment="1" pivotButton="0" quotePrefix="0" xfId="0">
      <alignment horizontal="center" vertical="center"/>
    </xf>
    <xf numFmtId="0" fontId="11" fillId="0" borderId="3" applyAlignment="1" pivotButton="0" quotePrefix="0" xfId="0">
      <alignment vertical="top" wrapText="1"/>
    </xf>
    <xf numFmtId="0" fontId="11" fillId="0" borderId="3" applyAlignment="1" pivotButton="0" quotePrefix="0" xfId="0">
      <alignment wrapText="1"/>
    </xf>
    <xf numFmtId="14" fontId="11" fillId="0" borderId="3" applyAlignment="1" pivotButton="0" quotePrefix="0" xfId="0">
      <alignment wrapText="1"/>
    </xf>
    <xf numFmtId="0" fontId="11" fillId="0" borderId="3" applyAlignment="1" pivotButton="0" quotePrefix="0" xfId="0">
      <alignment vertical="bottom" wrapText="1"/>
    </xf>
    <xf numFmtId="0" fontId="15" fillId="2" borderId="3" applyAlignment="1" pivotButton="0" quotePrefix="0" xfId="0">
      <alignment horizontal="center" vertical="center" wrapText="1"/>
    </xf>
    <xf numFmtId="0" fontId="15" fillId="2" borderId="22" applyAlignment="1" pivotButton="0" quotePrefix="0" xfId="0">
      <alignment horizontal="center" vertical="center" wrapText="1"/>
    </xf>
    <xf numFmtId="0" fontId="16" fillId="0" borderId="3" applyAlignment="1" pivotButton="0" quotePrefix="0" xfId="0">
      <alignment horizontal="center" vertical="center"/>
    </xf>
    <xf numFmtId="0" fontId="11" fillId="3" borderId="3" applyAlignment="1" pivotButton="0" quotePrefix="0" xfId="0">
      <alignment horizontal="left" vertical="center" wrapText="1"/>
    </xf>
    <xf numFmtId="0" fontId="16" fillId="0" borderId="3" pivotButton="0" quotePrefix="0" xfId="0"/>
    <xf numFmtId="0" fontId="0" fillId="0" borderId="0" pivotButton="0" quotePrefix="0" xfId="0"/>
    <xf numFmtId="0" fontId="3" fillId="0" borderId="6" applyAlignment="1" pivotButton="0" quotePrefix="0" xfId="0">
      <alignment vertical="center" wrapText="1"/>
    </xf>
    <xf numFmtId="0" fontId="0" fillId="0" borderId="2" pivotButton="0" quotePrefix="0" xfId="0"/>
    <xf numFmtId="0" fontId="0" fillId="0" borderId="6" pivotButton="0" quotePrefix="0" xfId="0"/>
    <xf numFmtId="0" fontId="3" fillId="3" borderId="6" applyAlignment="1" pivotButton="0" quotePrefix="0" xfId="0">
      <alignment vertical="center" wrapText="1"/>
    </xf>
    <xf numFmtId="0" fontId="5" fillId="2" borderId="19" applyAlignment="1" pivotButton="0" quotePrefix="0" xfId="0">
      <alignment horizontal="center" vertical="center"/>
    </xf>
    <xf numFmtId="0" fontId="0" fillId="0" borderId="15" pivotButton="0" quotePrefix="0" xfId="0"/>
    <xf numFmtId="0" fontId="0" fillId="0" borderId="16" pivotButton="0" quotePrefix="0" xfId="0"/>
    <xf numFmtId="0" fontId="5" fillId="2" borderId="19" applyAlignment="1" pivotButton="0" quotePrefix="0" xfId="0">
      <alignment horizontal="center" wrapText="1"/>
    </xf>
    <xf numFmtId="0" fontId="17"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6"/>
  <sheetViews>
    <sheetView showGridLines="0" workbookViewId="0">
      <selection activeCell="A1" sqref="A1"/>
    </sheetView>
  </sheetViews>
  <sheetFormatPr baseColWidth="8" defaultColWidth="12.63" defaultRowHeight="15.75" customHeight="1"/>
  <cols>
    <col width="5.88" customWidth="1" style="93" min="1" max="1"/>
    <col width="29.25" customWidth="1" style="93" min="3" max="3"/>
    <col width="81.75" customWidth="1" style="93" min="4" max="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9" t="n"/>
      <c r="B2" s="3" t="n"/>
      <c r="C2" s="3" t="n"/>
      <c r="D2" s="3"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21" customHeight="1" s="93">
      <c r="A3" s="4" t="n"/>
      <c r="B3" s="5" t="inlineStr">
        <is>
          <t>No</t>
        </is>
      </c>
      <c r="C3" s="6" t="inlineStr">
        <is>
          <t>Screen name</t>
        </is>
      </c>
      <c r="D3" s="6" t="inlineStr">
        <is>
          <t>Test view point</t>
        </is>
      </c>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row>
    <row r="4">
      <c r="A4" s="4" t="n"/>
      <c r="B4" s="7">
        <f>row()-3</f>
        <v/>
      </c>
      <c r="C4" s="94" t="n"/>
      <c r="D4" s="21"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c r="A5" s="4" t="n"/>
      <c r="B5" s="7">
        <f>row()-3</f>
        <v/>
      </c>
      <c r="C5" s="95" t="n"/>
      <c r="D5" s="21"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row>
    <row r="6">
      <c r="A6" s="4" t="n"/>
      <c r="B6" s="7">
        <f>row()-3</f>
        <v/>
      </c>
      <c r="C6" s="95" t="n"/>
      <c r="D6" s="21"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row>
    <row r="7">
      <c r="A7" s="4" t="n"/>
      <c r="B7" s="7">
        <f>row()-3</f>
        <v/>
      </c>
      <c r="C7" s="95" t="n"/>
      <c r="D7" s="21"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row>
    <row r="8">
      <c r="A8" s="4" t="n"/>
      <c r="B8" s="7">
        <f>row()-3</f>
        <v/>
      </c>
      <c r="C8" s="95" t="n"/>
      <c r="D8" s="21"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c r="A9" s="4" t="n"/>
      <c r="B9" s="7">
        <f>row()-3</f>
        <v/>
      </c>
      <c r="C9" s="95" t="n"/>
      <c r="D9" s="21"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c r="A10" s="4" t="n"/>
      <c r="B10" s="7">
        <f>row()-3</f>
        <v/>
      </c>
      <c r="C10" s="95" t="n"/>
      <c r="D10" s="21"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c r="A11" s="4" t="n"/>
      <c r="B11" s="7">
        <f>row()-3</f>
        <v/>
      </c>
      <c r="C11" s="95" t="n"/>
      <c r="D11" s="21"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c r="A12" s="4" t="n"/>
      <c r="B12" s="7">
        <f>row()-3</f>
        <v/>
      </c>
      <c r="C12" s="95" t="n"/>
      <c r="D12" s="13"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c r="A13" s="4" t="n"/>
      <c r="B13" s="7">
        <f>row()-3</f>
        <v/>
      </c>
      <c r="C13" s="95" t="n"/>
      <c r="D13" s="13"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c r="A14" s="4" t="n"/>
      <c r="B14" s="7">
        <f>row()-3</f>
        <v/>
      </c>
      <c r="C14" s="95" t="n"/>
      <c r="D14" s="13"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c r="A15" s="4" t="n"/>
      <c r="B15" s="7">
        <f>row()-3</f>
        <v/>
      </c>
      <c r="C15" s="95" t="n"/>
      <c r="D15" s="13"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c r="A16" s="4" t="n"/>
      <c r="B16" s="7">
        <f>row()-3</f>
        <v/>
      </c>
      <c r="C16" s="95" t="n"/>
      <c r="D16" s="13"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c r="A17" s="4" t="n"/>
      <c r="B17" s="7">
        <f>row()-3</f>
        <v/>
      </c>
      <c r="C17" s="95" t="n"/>
      <c r="D17" s="13"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c r="A18" s="4" t="n"/>
      <c r="B18" s="7">
        <f>row()-3</f>
        <v/>
      </c>
      <c r="C18" s="95" t="n"/>
      <c r="D18" s="13"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c r="A19" s="4" t="n"/>
      <c r="B19" s="7">
        <f>row()-3</f>
        <v/>
      </c>
      <c r="C19" s="95" t="n"/>
      <c r="D19" s="13"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c r="A20" s="4" t="n"/>
      <c r="B20" s="7">
        <f>row()-3</f>
        <v/>
      </c>
      <c r="C20" s="95" t="n"/>
      <c r="D20" s="13"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c r="A21" s="4" t="n"/>
      <c r="B21" s="7">
        <f>row()-3</f>
        <v/>
      </c>
      <c r="C21" s="95" t="n"/>
      <c r="D21" s="13"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c r="A22" s="4" t="n"/>
      <c r="B22" s="7">
        <f>row()-3</f>
        <v/>
      </c>
      <c r="C22" s="95" t="n"/>
      <c r="D22" s="13"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c r="A23" s="4" t="n"/>
      <c r="B23" s="7">
        <f>row()-3</f>
        <v/>
      </c>
      <c r="C23" s="95" t="n"/>
      <c r="D23" s="13"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c r="A24" s="4" t="n"/>
      <c r="B24" s="7">
        <f>row()-3</f>
        <v/>
      </c>
      <c r="C24" s="95" t="n"/>
      <c r="D24" s="13"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c r="A25" s="4" t="n"/>
      <c r="B25" s="7">
        <f>row()-3</f>
        <v/>
      </c>
      <c r="C25" s="95" t="n"/>
      <c r="D25" s="13"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c r="A26" s="4" t="n"/>
      <c r="B26" s="14">
        <f>row()-3</f>
        <v/>
      </c>
      <c r="C26" s="96" t="n"/>
      <c r="D26" s="16"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c r="A27" s="4" t="n"/>
      <c r="B27" s="17">
        <f>row()-3</f>
        <v/>
      </c>
      <c r="C27" s="94" t="n"/>
      <c r="D27" s="18"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c r="A28" s="4" t="n"/>
      <c r="B28" s="7">
        <f>row()-3</f>
        <v/>
      </c>
      <c r="C28" s="95" t="n"/>
      <c r="D28" s="13" t="n"/>
      <c r="E28" s="20"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c r="A29" s="4" t="n"/>
      <c r="B29" s="7">
        <f>row()-3</f>
        <v/>
      </c>
      <c r="C29" s="95" t="n"/>
      <c r="D29" s="13"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c r="A30" s="4" t="n"/>
      <c r="B30" s="7">
        <f>row()-3</f>
        <v/>
      </c>
      <c r="C30" s="95" t="n"/>
      <c r="D30" s="13"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c r="A31" s="4" t="n"/>
      <c r="B31" s="7">
        <f>row()-3</f>
        <v/>
      </c>
      <c r="C31" s="95" t="n"/>
      <c r="D31" s="13"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c r="A32" s="4" t="n"/>
      <c r="B32" s="7">
        <f>row()-3</f>
        <v/>
      </c>
      <c r="C32" s="95" t="n"/>
      <c r="D32" s="13"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c r="A33" s="4" t="n"/>
      <c r="B33" s="7">
        <f>row()-3</f>
        <v/>
      </c>
      <c r="C33" s="95" t="n"/>
      <c r="D33" s="13"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c r="A34" s="4" t="n"/>
      <c r="B34" s="7">
        <f>row()-3</f>
        <v/>
      </c>
      <c r="C34" s="95" t="n"/>
      <c r="D34" s="13"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c r="A35" s="4" t="n"/>
      <c r="B35" s="7">
        <f>row()-3</f>
        <v/>
      </c>
      <c r="C35" s="95" t="n"/>
      <c r="D35" s="13"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c r="A36" s="4" t="n"/>
      <c r="B36" s="7">
        <f>row()-3</f>
        <v/>
      </c>
      <c r="C36" s="95" t="n"/>
      <c r="D36" s="13"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c r="A37" s="4" t="n"/>
      <c r="B37" s="7">
        <f>row()-3</f>
        <v/>
      </c>
      <c r="C37" s="95" t="n"/>
      <c r="D37" s="21"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c r="A38" s="4" t="n"/>
      <c r="B38" s="7">
        <f>row()-3</f>
        <v/>
      </c>
      <c r="C38" s="95" t="n"/>
      <c r="D38" s="21"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c r="A39" s="4" t="n"/>
      <c r="B39" s="7">
        <f>row()-3</f>
        <v/>
      </c>
      <c r="C39" s="95" t="n"/>
      <c r="D39" s="21"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c r="A40" s="4" t="n"/>
      <c r="B40" s="7">
        <f>row()-3</f>
        <v/>
      </c>
      <c r="C40" s="95" t="n"/>
      <c r="D40" s="21"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c r="A41" s="4" t="n"/>
      <c r="B41" s="7">
        <f>row()-3</f>
        <v/>
      </c>
      <c r="C41" s="95" t="n"/>
      <c r="D41" s="21"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c r="A42" s="4" t="n"/>
      <c r="B42" s="7">
        <f>row()-3</f>
        <v/>
      </c>
      <c r="C42" s="95" t="n"/>
      <c r="D42" s="21"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c r="A43" s="4" t="n"/>
      <c r="B43" s="14">
        <f>row()-3</f>
        <v/>
      </c>
      <c r="C43" s="96" t="n"/>
      <c r="D43" s="26"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c r="A44" s="4" t="n"/>
      <c r="B44" s="17">
        <f>row()-3</f>
        <v/>
      </c>
      <c r="C44" s="97" t="n"/>
      <c r="D44" s="28"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c r="A45" s="4" t="n"/>
      <c r="B45" s="7">
        <f>row()-3</f>
        <v/>
      </c>
      <c r="C45" s="95" t="n"/>
      <c r="D45" s="25"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c r="A46" s="4" t="n"/>
      <c r="B46" s="7">
        <f>row()-3</f>
        <v/>
      </c>
      <c r="C46" s="95" t="n"/>
      <c r="D46" s="25"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c r="A47" s="4" t="n"/>
      <c r="B47" s="7">
        <f>row()-3</f>
        <v/>
      </c>
      <c r="C47" s="95" t="n"/>
      <c r="D47" s="25"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c r="A48" s="4" t="n"/>
      <c r="B48" s="14">
        <f>row()-3</f>
        <v/>
      </c>
      <c r="C48" s="96" t="n"/>
      <c r="D48" s="21"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c r="A49" s="19" t="n"/>
      <c r="B49" s="17">
        <f>row()-3</f>
        <v/>
      </c>
      <c r="C49" s="94" t="n"/>
      <c r="D49" s="28"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c r="A50" s="19" t="n"/>
      <c r="B50" s="7">
        <f>row()-3</f>
        <v/>
      </c>
      <c r="C50" s="95" t="n"/>
      <c r="D50" s="13"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c r="A51" s="19" t="n"/>
      <c r="B51" s="14">
        <f>row()-3</f>
        <v/>
      </c>
      <c r="C51" s="96" t="n"/>
      <c r="D51" s="13"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c r="A52" s="4" t="n"/>
      <c r="B52" s="17">
        <f>row()-3</f>
        <v/>
      </c>
      <c r="C52" s="94" t="n"/>
      <c r="D52" s="28"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c r="A53" s="4" t="n"/>
      <c r="B53" s="7">
        <f>row()-3</f>
        <v/>
      </c>
      <c r="C53" s="95" t="n"/>
      <c r="D53" s="25"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c r="A54" s="4" t="n"/>
      <c r="B54" s="7">
        <f>row()-3</f>
        <v/>
      </c>
      <c r="C54" s="95" t="n"/>
      <c r="D54" s="21"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c r="A55" s="4" t="n"/>
      <c r="B55" s="7">
        <f>row()-3</f>
        <v/>
      </c>
      <c r="C55" s="95" t="n"/>
      <c r="D55" s="21"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c r="A56" s="4" t="n"/>
      <c r="B56" s="7">
        <f>row()-3</f>
        <v/>
      </c>
      <c r="C56" s="95" t="n"/>
      <c r="D56" s="25"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c r="A57" s="4" t="n"/>
      <c r="B57" s="7">
        <f>row()-3</f>
        <v/>
      </c>
      <c r="C57" s="95" t="n"/>
      <c r="D57" s="25"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c r="A58" s="4" t="n"/>
      <c r="B58" s="14">
        <f>row()-3</f>
        <v/>
      </c>
      <c r="C58" s="96" t="n"/>
      <c r="D58" s="26"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c r="A59" s="4" t="n"/>
      <c r="B59" s="17">
        <f>row()-3</f>
        <v/>
      </c>
      <c r="C59" s="94" t="n"/>
      <c r="D59" s="28"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c r="A60" s="4" t="n"/>
      <c r="B60" s="7">
        <f>row()-3</f>
        <v/>
      </c>
      <c r="C60" s="95" t="n"/>
      <c r="D60" s="21"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c r="A61" s="4" t="n"/>
      <c r="B61" s="7">
        <f>row()-3</f>
        <v/>
      </c>
      <c r="C61" s="95" t="n"/>
      <c r="D61" s="32"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c r="A62" s="4" t="n"/>
      <c r="B62" s="30">
        <f>row()-3</f>
        <v/>
      </c>
      <c r="C62" s="96" t="n"/>
      <c r="D62" s="33"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c r="A63" s="4" t="n"/>
      <c r="B63" s="7">
        <f>row()-3</f>
        <v/>
      </c>
      <c r="C63" s="94" t="n"/>
      <c r="D63" s="28"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c r="A64" s="4" t="n"/>
      <c r="B64" s="7">
        <f>row()-3</f>
        <v/>
      </c>
      <c r="C64" s="95" t="n"/>
      <c r="D64" s="21"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c r="A65" s="4" t="n"/>
      <c r="B65" s="7">
        <f>row()-3</f>
        <v/>
      </c>
      <c r="C65" s="95" t="n"/>
      <c r="D65" s="32"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c r="A66" s="4" t="n"/>
      <c r="B66" s="14">
        <f>row()-3</f>
        <v/>
      </c>
      <c r="C66" s="96" t="n"/>
      <c r="D66" s="33"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c r="A67" s="4" t="n"/>
      <c r="B67" s="17">
        <f>row()-3</f>
        <v/>
      </c>
      <c r="C67" s="94" t="n"/>
      <c r="D67" s="28"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c r="A68" s="4" t="n"/>
      <c r="B68" s="7">
        <f>row()-3</f>
        <v/>
      </c>
      <c r="C68" s="95" t="n"/>
      <c r="D68" s="21"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c r="A69" s="4" t="n"/>
      <c r="B69" s="7">
        <f>row()-3</f>
        <v/>
      </c>
      <c r="C69" s="95" t="n"/>
      <c r="D69" s="13"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c r="A70" s="4" t="n"/>
      <c r="B70" s="7">
        <f>row()-3</f>
        <v/>
      </c>
      <c r="C70" s="95" t="n"/>
      <c r="D70" s="21"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c r="A71" s="4" t="n"/>
      <c r="B71" s="14">
        <f>row()-3</f>
        <v/>
      </c>
      <c r="C71" s="96" t="n"/>
      <c r="D71" s="26"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c r="A72" s="4" t="n"/>
      <c r="B72" s="17">
        <f>row()-3</f>
        <v/>
      </c>
      <c r="C72" s="94" t="n"/>
      <c r="D72" s="28"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c r="A73" s="4" t="n"/>
      <c r="B73" s="7">
        <f>row()-3</f>
        <v/>
      </c>
      <c r="C73" s="95" t="n"/>
      <c r="D73" s="21"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c r="A74" s="4" t="n"/>
      <c r="B74" s="7">
        <f>row()-3</f>
        <v/>
      </c>
      <c r="C74" s="95" t="n"/>
      <c r="D74" s="13"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c r="A75" s="4" t="n"/>
      <c r="B75" s="7">
        <f>row()-3</f>
        <v/>
      </c>
      <c r="C75" s="95" t="n"/>
      <c r="D75" s="13"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c r="A76" s="4" t="n"/>
      <c r="B76" s="7">
        <f>row()-3</f>
        <v/>
      </c>
      <c r="C76" s="95" t="n"/>
      <c r="D76" s="21"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c r="A77" s="4" t="n"/>
      <c r="B77" s="7">
        <f>row()-3</f>
        <v/>
      </c>
      <c r="C77" s="95" t="n"/>
      <c r="D77" s="21"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c r="A78" s="4" t="n"/>
      <c r="B78" s="7">
        <f>row()-3</f>
        <v/>
      </c>
      <c r="C78" s="95" t="n"/>
      <c r="D78" s="21"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c r="A79" s="4" t="n"/>
      <c r="B79" s="7">
        <f>row()-3</f>
        <v/>
      </c>
      <c r="C79" s="95" t="n"/>
      <c r="D79" s="21"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c r="A80" s="4" t="n"/>
      <c r="B80" s="7">
        <f>row()-3</f>
        <v/>
      </c>
      <c r="C80" s="95" t="n"/>
      <c r="D80" s="21"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c r="A81" s="4" t="n"/>
      <c r="B81" s="7">
        <f>row()-3</f>
        <v/>
      </c>
      <c r="C81" s="95" t="n"/>
      <c r="D81" s="21"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c r="A82" s="4" t="n"/>
      <c r="B82" s="7">
        <f>row()-3</f>
        <v/>
      </c>
      <c r="C82" s="95" t="n"/>
      <c r="D82" s="21"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c r="A83" s="4" t="n"/>
      <c r="B83" s="7">
        <f>row()-3</f>
        <v/>
      </c>
      <c r="C83" s="95" t="n"/>
      <c r="D83" s="21"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c r="A84" s="4" t="n"/>
      <c r="B84" s="7">
        <f>row()-3</f>
        <v/>
      </c>
      <c r="C84" s="95" t="n"/>
      <c r="D84" s="21"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c r="A85" s="4" t="n"/>
      <c r="B85" s="7">
        <f>row()-3</f>
        <v/>
      </c>
      <c r="C85" s="95" t="n"/>
      <c r="D85" s="21"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c r="A86" s="19" t="n"/>
      <c r="B86" s="7">
        <f>row()-3</f>
        <v/>
      </c>
      <c r="C86" s="95" t="n"/>
      <c r="D86" s="21"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c r="A87" s="19" t="n"/>
      <c r="B87" s="7">
        <f>row()-3</f>
        <v/>
      </c>
      <c r="C87" s="95" t="n"/>
      <c r="D87" s="21"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c r="A88" s="19" t="n"/>
      <c r="B88" s="7">
        <f>row()-3</f>
        <v/>
      </c>
      <c r="C88" s="95" t="n"/>
      <c r="D88" s="21"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c r="A89" s="19" t="n"/>
      <c r="B89" s="7">
        <f>row()-3</f>
        <v/>
      </c>
      <c r="C89" s="95" t="n"/>
      <c r="D89" s="21"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c r="A90" s="19" t="n"/>
      <c r="B90" s="7">
        <f>row()-3</f>
        <v/>
      </c>
      <c r="C90" s="95" t="n"/>
      <c r="D90" s="13"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c r="A91" s="19" t="n"/>
      <c r="B91" s="7">
        <f>row()-3</f>
        <v/>
      </c>
      <c r="C91" s="96" t="n"/>
      <c r="D91" s="13"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c r="A92" s="19" t="n"/>
      <c r="B92" s="17">
        <f>row()-3</f>
        <v/>
      </c>
      <c r="C92" s="94" t="n"/>
      <c r="D92" s="34"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c r="A93" s="19" t="n"/>
      <c r="B93" s="7">
        <f>row()-3</f>
        <v/>
      </c>
      <c r="C93" s="95" t="n"/>
      <c r="D93" s="13"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c r="A94" s="19" t="n"/>
      <c r="B94" s="7">
        <f>row()-3</f>
        <v/>
      </c>
      <c r="C94" s="95" t="n"/>
      <c r="D94" s="13"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c r="A95" s="19" t="n"/>
      <c r="B95" s="7">
        <f>row()-3</f>
        <v/>
      </c>
      <c r="C95" s="95" t="n"/>
      <c r="D95" s="13"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c r="A96" s="19" t="n"/>
      <c r="B96" s="7">
        <f>row()-3</f>
        <v/>
      </c>
      <c r="C96" s="95" t="n"/>
      <c r="D96" s="13"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c r="A97" s="19" t="n"/>
      <c r="B97" s="7">
        <f>row()-3</f>
        <v/>
      </c>
      <c r="C97" s="95" t="n"/>
      <c r="D97" s="13"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c r="A98" s="19" t="n"/>
      <c r="B98" s="14">
        <f>row()-3</f>
        <v/>
      </c>
      <c r="C98" s="96" t="n"/>
      <c r="D98" s="35"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c r="A99" s="19" t="n"/>
      <c r="B99" s="17">
        <f>row()-3</f>
        <v/>
      </c>
      <c r="C99" s="94" t="n"/>
      <c r="D99" s="28"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c r="A100" s="19" t="n"/>
      <c r="B100" s="7">
        <f>row()-3</f>
        <v/>
      </c>
      <c r="C100" s="95" t="n"/>
      <c r="D100" s="21"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c r="A101" s="19" t="n"/>
      <c r="B101" s="7">
        <f>row()-3</f>
        <v/>
      </c>
      <c r="C101" s="95" t="n"/>
      <c r="D101" s="21"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c r="A102" s="19" t="n"/>
      <c r="B102" s="7">
        <f>row()-3</f>
        <v/>
      </c>
      <c r="C102" s="95" t="n"/>
      <c r="D102" s="21"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c r="A103" s="19" t="n"/>
      <c r="B103" s="7">
        <f>row()-3</f>
        <v/>
      </c>
      <c r="C103" s="95" t="n"/>
      <c r="D103" s="21"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c r="A104" s="19" t="n"/>
      <c r="B104" s="7">
        <f>row()-3</f>
        <v/>
      </c>
      <c r="C104" s="95" t="n"/>
      <c r="D104" s="21"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c r="A105" s="19" t="n"/>
      <c r="B105" s="7">
        <f>row()-3</f>
        <v/>
      </c>
      <c r="C105" s="95" t="n"/>
      <c r="D105" s="21"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c r="A106" s="19" t="n"/>
      <c r="B106" s="7">
        <f>row()-3</f>
        <v/>
      </c>
      <c r="C106" s="95" t="n"/>
      <c r="D106" s="21"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c r="A107" s="19" t="n"/>
      <c r="B107" s="7">
        <f>row()-3</f>
        <v/>
      </c>
      <c r="C107" s="95" t="n"/>
      <c r="D107" s="21"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c r="A108" s="19" t="n"/>
      <c r="B108" s="7">
        <f>row()-3</f>
        <v/>
      </c>
      <c r="C108" s="95" t="n"/>
      <c r="D108" s="21"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c r="A109" s="19" t="n"/>
      <c r="B109" s="14">
        <f>row()-3</f>
        <v/>
      </c>
      <c r="C109" s="96" t="n"/>
      <c r="D109" s="26"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c r="A110" s="19" t="n"/>
      <c r="B110" s="17">
        <f>row()-3</f>
        <v/>
      </c>
      <c r="C110" s="94" t="n"/>
      <c r="D110" s="28"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c r="A111" s="19" t="n"/>
      <c r="B111" s="7">
        <f>row()-3</f>
        <v/>
      </c>
      <c r="C111" s="95" t="n"/>
      <c r="D111" s="21"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c r="A112" s="19" t="n"/>
      <c r="B112" s="14">
        <f>row()-3</f>
        <v/>
      </c>
      <c r="C112" s="96" t="n"/>
      <c r="D112" s="26"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c r="A113" s="19" t="n"/>
      <c r="B113" s="17">
        <f>row()-3</f>
        <v/>
      </c>
      <c r="C113" s="94" t="n"/>
      <c r="D113" s="28"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c r="A114" s="19" t="n"/>
      <c r="B114" s="7">
        <f>row()-3</f>
        <v/>
      </c>
      <c r="C114" s="95" t="n"/>
      <c r="D114" s="26"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c r="A115" s="19" t="n"/>
      <c r="B115" s="7">
        <f>row()-3</f>
        <v/>
      </c>
      <c r="C115" s="95" t="n"/>
      <c r="D115" s="25"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c r="A116" s="19" t="n"/>
      <c r="B116" s="14">
        <f>row()-3</f>
        <v/>
      </c>
      <c r="C116" s="96" t="n"/>
      <c r="D116" s="36"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c r="A117" s="19" t="n"/>
      <c r="B117" s="37">
        <f>row()-3</f>
        <v/>
      </c>
      <c r="C117" s="27" t="n"/>
      <c r="D117" s="38"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c r="A118" s="19" t="n"/>
      <c r="B118" s="7">
        <f>row()-3</f>
        <v/>
      </c>
      <c r="C118" s="39" t="n"/>
      <c r="D118" s="28"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sheetData>
  <mergeCells count="13">
    <mergeCell ref="C110:C112"/>
    <mergeCell ref="C44:C48"/>
    <mergeCell ref="C4:C26"/>
    <mergeCell ref="C113:C116"/>
    <mergeCell ref="C99:C109"/>
    <mergeCell ref="C52:C58"/>
    <mergeCell ref="C59:C62"/>
    <mergeCell ref="C72:C91"/>
    <mergeCell ref="C27:C43"/>
    <mergeCell ref="C67:C71"/>
    <mergeCell ref="C49:C51"/>
    <mergeCell ref="C92:C98"/>
    <mergeCell ref="C63:C6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1:I992"/>
  <sheetViews>
    <sheetView showGridLines="0" workbookViewId="0">
      <selection activeCell="A1" sqref="A1"/>
    </sheetView>
  </sheetViews>
  <sheetFormatPr baseColWidth="8" defaultColWidth="12.63" defaultRowHeight="15.75" customHeight="1"/>
  <cols>
    <col width="6.38" customWidth="1" style="93" min="2" max="2"/>
    <col width="48" customWidth="1" style="93" min="3" max="3"/>
    <col width="12.38" customWidth="1" style="93" min="4" max="4"/>
    <col width="10.13" customWidth="1" style="93" min="5" max="5"/>
    <col width="10" customWidth="1" style="93" min="6" max="6"/>
    <col width="11" customWidth="1" style="93" min="7" max="7"/>
    <col width="10.75" customWidth="1" style="93" min="8" max="8"/>
    <col width="11.88" customWidth="1" style="93" min="9" max="9"/>
  </cols>
  <sheetData>
    <row r="1">
      <c r="B1" s="40" t="n"/>
      <c r="C1" s="40" t="n"/>
    </row>
    <row r="2" ht="35.25" customHeight="1" s="93">
      <c r="B2" s="40" t="n"/>
      <c r="C2" s="40" t="n"/>
      <c r="E2" s="98" t="inlineStr">
        <is>
          <t>Result 1</t>
        </is>
      </c>
      <c r="F2" s="99" t="n"/>
      <c r="G2" s="100" t="n"/>
      <c r="H2" s="101" t="inlineStr">
        <is>
          <t>Result 2 (NG--&gt;OK, Pending--&gt;OK)</t>
        </is>
      </c>
      <c r="I2" s="100" t="n"/>
    </row>
    <row r="3">
      <c r="B3" s="45" t="inlineStr">
        <is>
          <t>No</t>
        </is>
      </c>
      <c r="C3" s="45" t="inlineStr">
        <is>
          <t>Screen name</t>
        </is>
      </c>
      <c r="D3" s="46" t="inlineStr">
        <is>
          <t>TCs plan</t>
        </is>
      </c>
      <c r="E3" s="47" t="inlineStr">
        <is>
          <t>OK</t>
        </is>
      </c>
      <c r="F3" s="47" t="inlineStr">
        <is>
          <t>NG</t>
        </is>
      </c>
      <c r="G3" s="47" t="inlineStr">
        <is>
          <t>Pending</t>
        </is>
      </c>
      <c r="H3" s="47" t="inlineStr">
        <is>
          <t>OK</t>
        </is>
      </c>
      <c r="I3" s="47" t="inlineStr">
        <is>
          <t>% Fixed</t>
        </is>
      </c>
    </row>
    <row r="4">
      <c r="B4" s="48" t="n">
        <v>1</v>
      </c>
      <c r="C4" s="49" t="inlineStr">
        <is>
          <t>AW_FEPL_001</t>
        </is>
      </c>
      <c r="D4" s="50">
        <f>if($C4="","-", COUNTA(indirect("'"&amp;$C4&amp;"'!G2:G1000")))</f>
        <v/>
      </c>
      <c r="E4" s="51">
        <f>if($C4="","-", countif(indirect("'"&amp;$C4&amp;"'!M2:M1000"),E$3))</f>
        <v/>
      </c>
      <c r="F4" s="51">
        <f>if($C4="","-", countif(indirect("'"&amp;$C4&amp;"'!M2:M1000"),F$3))</f>
        <v/>
      </c>
      <c r="G4" s="51">
        <f>if($C4="","-", countif(indirect("'"&amp;$C4&amp;"'!M2:M1000"),G$3))</f>
        <v/>
      </c>
      <c r="H4" s="51">
        <f>if($C4="","-", countif(indirect("'"&amp;$C4&amp;"'!Q2:Q1000"),H$3))</f>
        <v/>
      </c>
      <c r="I4" s="52">
        <f>iferror(H4/(F4+G4),"-")</f>
        <v/>
      </c>
    </row>
    <row r="5">
      <c r="B5" s="50" t="n">
        <v>2</v>
      </c>
      <c r="C5" s="50" t="inlineStr">
        <is>
          <t>AW_FEPL_002</t>
        </is>
      </c>
      <c r="D5" s="50">
        <f>if($C5="","-", COUNTA(indirect("'"&amp;$C5&amp;"'!G2:G1000")))</f>
        <v/>
      </c>
      <c r="E5" s="51">
        <f>if($C5="","-", countif(indirect("'"&amp;$C5&amp;"'!M2:M1000"),E$3))</f>
        <v/>
      </c>
      <c r="F5" s="51">
        <f>if($C5="","-", countif(indirect("'"&amp;$C5&amp;"'!M2:M1000"),F$3))</f>
        <v/>
      </c>
      <c r="G5" s="51">
        <f>if($C5="","-", countif(indirect("'"&amp;$C5&amp;"'!M2:M1000"),G$3))</f>
        <v/>
      </c>
      <c r="H5" s="51">
        <f>if($C5="","-", countif(indirect("'"&amp;$C5&amp;"'!Q2:Q1000"),H$3))</f>
        <v/>
      </c>
      <c r="I5" s="52">
        <f>iferror(H5/(F5+G5),"-")</f>
        <v/>
      </c>
    </row>
    <row r="6">
      <c r="B6" s="48" t="n">
        <v>3</v>
      </c>
      <c r="C6" s="53" t="inlineStr">
        <is>
          <t>AW_FEPL_003</t>
        </is>
      </c>
      <c r="D6" s="50">
        <f>if($C6="","-", COUNTA(indirect("'"&amp;$C6&amp;"'!G2:G1000")))</f>
        <v/>
      </c>
      <c r="E6" s="51">
        <f>if($C6="","-", countif(indirect("'"&amp;$C6&amp;"'!M2:M1000"),E$3))</f>
        <v/>
      </c>
      <c r="F6" s="51">
        <f>if($C6="","-", countif(indirect("'"&amp;$C6&amp;"'!M2:M1000"),F$3))</f>
        <v/>
      </c>
      <c r="G6" s="51">
        <f>if($C6="","-", countif(indirect("'"&amp;$C6&amp;"'!M2:M1000"),G$3))</f>
        <v/>
      </c>
      <c r="H6" s="51">
        <f>if($C6="","-", countif(indirect("'"&amp;$C6&amp;"'!Q2:Q1000"),H$3))</f>
        <v/>
      </c>
      <c r="I6" s="52">
        <f>iferror(H6/(F6+G6),"-")</f>
        <v/>
      </c>
    </row>
    <row r="7">
      <c r="B7" s="50" t="n">
        <v>4</v>
      </c>
      <c r="C7" s="50" t="inlineStr">
        <is>
          <t>AW_FEPL_004</t>
        </is>
      </c>
      <c r="D7" s="50">
        <f>if($C7="","-", COUNTA(indirect("'"&amp;$C7&amp;"'!G2:G1000")))</f>
        <v/>
      </c>
      <c r="E7" s="51">
        <f>if($C7="","-", countif(indirect("'"&amp;$C7&amp;"'!M2:M1000"),E$3))</f>
        <v/>
      </c>
      <c r="F7" s="51">
        <f>if($C7="","-", countif(indirect("'"&amp;$C7&amp;"'!M2:M1000"),F$3))</f>
        <v/>
      </c>
      <c r="G7" s="51">
        <f>if($C7="","-", countif(indirect("'"&amp;$C7&amp;"'!M2:M1000"),G$3))</f>
        <v/>
      </c>
      <c r="H7" s="51">
        <f>if($C7="","-", countif(indirect("'"&amp;$C7&amp;"'!Q2:Q1000"),H$3))</f>
        <v/>
      </c>
      <c r="I7" s="52">
        <f>iferror(H7/(F7+G7),"-")</f>
        <v/>
      </c>
    </row>
    <row r="8">
      <c r="B8" s="48" t="n">
        <v>5</v>
      </c>
      <c r="C8" s="53" t="inlineStr">
        <is>
          <t>AW_FEPL_005</t>
        </is>
      </c>
      <c r="D8" s="50">
        <f>if($C8="","-", COUNTA(indirect("'"&amp;$C8&amp;"'!G2:G1000")))</f>
        <v/>
      </c>
      <c r="E8" s="51">
        <f>if($C8="","-", countif(indirect("'"&amp;$C8&amp;"'!M2:M1000"),E$3))</f>
        <v/>
      </c>
      <c r="F8" s="51">
        <f>if($C8="","-", countif(indirect("'"&amp;$C8&amp;"'!M2:M1000"),F$3))</f>
        <v/>
      </c>
      <c r="G8" s="51">
        <f>if($C8="","-", countif(indirect("'"&amp;$C8&amp;"'!M2:M1000"),G$3))</f>
        <v/>
      </c>
      <c r="H8" s="51">
        <f>if($C8="","-", countif(indirect("'"&amp;$C8&amp;"'!Q2:Q1000"),H$3))</f>
        <v/>
      </c>
      <c r="I8" s="52">
        <f>iferror(H8/(F8+G8),"-")</f>
        <v/>
      </c>
    </row>
    <row r="9">
      <c r="B9" s="50" t="n">
        <v>6</v>
      </c>
      <c r="C9" s="50" t="inlineStr">
        <is>
          <t>AW_FEPL_006</t>
        </is>
      </c>
      <c r="D9" s="50">
        <f>if($C9="","-", COUNTA(indirect("'"&amp;$C9&amp;"'!G2:G1000")))</f>
        <v/>
      </c>
      <c r="E9" s="51">
        <f>if($C9="","-", countif(indirect("'"&amp;$C9&amp;"'!M2:M1000"),E$3))</f>
        <v/>
      </c>
      <c r="F9" s="51">
        <f>if($C9="","-", countif(indirect("'"&amp;$C9&amp;"'!M2:M1000"),F$3))</f>
        <v/>
      </c>
      <c r="G9" s="51">
        <f>if($C9="","-", countif(indirect("'"&amp;$C9&amp;"'!M2:M1000"),G$3))</f>
        <v/>
      </c>
      <c r="H9" s="51">
        <f>if($C9="","-", countif(indirect("'"&amp;$C9&amp;"'!Q2:Q1000"),H$3))</f>
        <v/>
      </c>
      <c r="I9" s="52">
        <f>iferror(H9/(F9+G9),"-")</f>
        <v/>
      </c>
    </row>
    <row r="10">
      <c r="B10" s="48" t="n">
        <v>7</v>
      </c>
      <c r="C10" s="50" t="n"/>
      <c r="D10" s="50">
        <f>if($C10="","-", COUNTA(indirect("'"&amp;$C10&amp;"'!G2:G1000")))</f>
        <v/>
      </c>
      <c r="E10" s="51">
        <f>if($C10="","-", countif(indirect("'"&amp;$C10&amp;"'!M2:M1000"),E$3))</f>
        <v/>
      </c>
      <c r="F10" s="51">
        <f>if($C10="","-", countif(indirect("'"&amp;$C10&amp;"'!M2:M1000"),F$3))</f>
        <v/>
      </c>
      <c r="G10" s="51">
        <f>if($C10="","-", countif(indirect("'"&amp;$C10&amp;"'!M2:M1000"),G$3))</f>
        <v/>
      </c>
      <c r="H10" s="51">
        <f>if($C10="","-", countif(indirect("'"&amp;$C10&amp;"'!Q2:Q1000"),H$3))</f>
        <v/>
      </c>
      <c r="I10" s="52">
        <f>iferror(H10/(F10+G10),"-")</f>
        <v/>
      </c>
    </row>
    <row r="11">
      <c r="B11" s="50" t="n">
        <v>8</v>
      </c>
      <c r="C11" s="54" t="n"/>
      <c r="D11" s="50">
        <f>if($C11="","-", COUNTA(indirect("'"&amp;$C11&amp;"'!G2:G1000")))</f>
        <v/>
      </c>
      <c r="E11" s="51">
        <f>if($C11="","-", countif(indirect("'"&amp;$C11&amp;"'!M2:M1000"),E$3))</f>
        <v/>
      </c>
      <c r="F11" s="51">
        <f>if($C11="","-", countif(indirect("'"&amp;$C11&amp;"'!M2:M1000"),F$3))</f>
        <v/>
      </c>
      <c r="G11" s="51">
        <f>if($C11="","-", countif(indirect("'"&amp;$C11&amp;"'!M2:M1000"),G$3))</f>
        <v/>
      </c>
      <c r="H11" s="51">
        <f>if($C11="","-", countif(indirect("'"&amp;$C11&amp;"'!Q2:Q1000"),H$3))</f>
        <v/>
      </c>
      <c r="I11" s="52">
        <f>iferror(H11/(F11+G11),"-")</f>
        <v/>
      </c>
    </row>
    <row r="12">
      <c r="B12" s="48" t="n">
        <v>9</v>
      </c>
      <c r="C12" s="50" t="n"/>
      <c r="D12" s="50">
        <f>if($C12="","-", COUNTA(indirect("'"&amp;$C12&amp;"'!G2:G1000")))</f>
        <v/>
      </c>
      <c r="E12" s="51">
        <f>if($C12="","-", countif(indirect("'"&amp;$C12&amp;"'!M2:M1000"),E$3))</f>
        <v/>
      </c>
      <c r="F12" s="51">
        <f>if($C12="","-", countif(indirect("'"&amp;$C12&amp;"'!M2:M1000"),F$3))</f>
        <v/>
      </c>
      <c r="G12" s="51">
        <f>if($C12="","-", countif(indirect("'"&amp;$C12&amp;"'!M2:M1000"),G$3))</f>
        <v/>
      </c>
      <c r="H12" s="51">
        <f>if($C12="","-", countif(indirect("'"&amp;$C12&amp;"'!Q2:Q1000"),H$3))</f>
        <v/>
      </c>
      <c r="I12" s="52">
        <f>iferror(H12/(F12+G12),"-")</f>
        <v/>
      </c>
    </row>
    <row r="13">
      <c r="B13" s="50" t="n">
        <v>10</v>
      </c>
      <c r="C13" s="50" t="n"/>
      <c r="D13" s="50">
        <f>if($C13="","-", COUNTA(indirect("'"&amp;$C13&amp;"'!G2:G1000")))</f>
        <v/>
      </c>
      <c r="E13" s="51">
        <f>if($C13="","-", countif(indirect("'"&amp;$C13&amp;"'!M2:M1000"),E$3))</f>
        <v/>
      </c>
      <c r="F13" s="51">
        <f>if($C13="","-", countif(indirect("'"&amp;$C13&amp;"'!M2:M1000"),F$3))</f>
        <v/>
      </c>
      <c r="G13" s="51">
        <f>if($C13="","-", countif(indirect("'"&amp;$C13&amp;"'!M2:M1000"),G$3))</f>
        <v/>
      </c>
      <c r="H13" s="51">
        <f>if($C13="","-", countif(indirect("'"&amp;$C13&amp;"'!Q2:Q1000"),H$3))</f>
        <v/>
      </c>
      <c r="I13" s="52">
        <f>iferror(H13/(F13+G13),"-")</f>
        <v/>
      </c>
    </row>
    <row r="14">
      <c r="B14" s="48" t="n">
        <v>11</v>
      </c>
      <c r="C14" s="50" t="n"/>
      <c r="D14" s="50">
        <f>if($C14="","-", COUNTA(indirect("'"&amp;$C14&amp;"'!G2:G1000")))</f>
        <v/>
      </c>
      <c r="E14" s="51">
        <f>if($C14="","-", countif(indirect("'"&amp;$C14&amp;"'!M2:M1000"),E$3))</f>
        <v/>
      </c>
      <c r="F14" s="51">
        <f>if($C14="","-", countif(indirect("'"&amp;$C14&amp;"'!M2:M1000"),F$3))</f>
        <v/>
      </c>
      <c r="G14" s="51">
        <f>if($C14="","-", countif(indirect("'"&amp;$C14&amp;"'!M2:M1000"),G$3))</f>
        <v/>
      </c>
      <c r="H14" s="51">
        <f>if($C14="","-", countif(indirect("'"&amp;$C14&amp;"'!Q2:Q1000"),H$3))</f>
        <v/>
      </c>
      <c r="I14" s="52">
        <f>iferror(H14/(F14+G14),"-")</f>
        <v/>
      </c>
    </row>
    <row r="15">
      <c r="B15" s="50" t="n">
        <v>12</v>
      </c>
      <c r="C15" s="50" t="n"/>
      <c r="D15" s="50">
        <f>if($C15="","-", COUNTA(indirect("'"&amp;$C15&amp;"'!G2:G1000")))</f>
        <v/>
      </c>
      <c r="E15" s="51">
        <f>if($C15="","-", countif(indirect("'"&amp;$C15&amp;"'!M2:M1000"),E$3))</f>
        <v/>
      </c>
      <c r="F15" s="51">
        <f>if($C15="","-", countif(indirect("'"&amp;$C15&amp;"'!M2:M1000"),F$3))</f>
        <v/>
      </c>
      <c r="G15" s="51">
        <f>if($C15="","-", countif(indirect("'"&amp;$C15&amp;"'!M2:M1000"),G$3))</f>
        <v/>
      </c>
      <c r="H15" s="51">
        <f>if($C15="","-", countif(indirect("'"&amp;$C15&amp;"'!Q2:Q1000"),H$3))</f>
        <v/>
      </c>
      <c r="I15" s="52">
        <f>iferror(H15/(F15+G15),"-")</f>
        <v/>
      </c>
    </row>
    <row r="16">
      <c r="B16" s="48" t="n">
        <v>13</v>
      </c>
      <c r="C16" s="50" t="n"/>
      <c r="D16" s="50">
        <f>if($C16="","-", COUNTA(indirect("'"&amp;$C16&amp;"'!G2:G1000")))</f>
        <v/>
      </c>
      <c r="E16" s="51">
        <f>if($C16="","-", countif(indirect("'"&amp;$C16&amp;"'!M2:M1000"),E$3))</f>
        <v/>
      </c>
      <c r="F16" s="51">
        <f>if($C16="","-", countif(indirect("'"&amp;$C16&amp;"'!M2:M1000"),F$3))</f>
        <v/>
      </c>
      <c r="G16" s="51">
        <f>if($C16="","-", countif(indirect("'"&amp;$C16&amp;"'!M2:M1000"),G$3))</f>
        <v/>
      </c>
      <c r="H16" s="51">
        <f>if($C16="","-", countif(indirect("'"&amp;$C16&amp;"'!Q2:Q1000"),H$3))</f>
        <v/>
      </c>
      <c r="I16" s="52">
        <f>iferror(H16/(F16+G16),"-")</f>
        <v/>
      </c>
    </row>
    <row r="17">
      <c r="B17" s="50" t="n">
        <v>14</v>
      </c>
      <c r="C17" s="50" t="n"/>
      <c r="D17" s="50">
        <f>if($C17="","-", COUNTA(indirect("'"&amp;$C17&amp;"'!G2:G1000")))</f>
        <v/>
      </c>
      <c r="E17" s="51">
        <f>if($C17="","-", countif(indirect("'"&amp;$C17&amp;"'!M2:M1000"),E$3))</f>
        <v/>
      </c>
      <c r="F17" s="51">
        <f>if($C17="","-", countif(indirect("'"&amp;$C17&amp;"'!M2:M1000"),F$3))</f>
        <v/>
      </c>
      <c r="G17" s="51">
        <f>if($C17="","-", countif(indirect("'"&amp;$C17&amp;"'!M2:M1000"),G$3))</f>
        <v/>
      </c>
      <c r="H17" s="51">
        <f>if($C17="","-", countif(indirect("'"&amp;$C17&amp;"'!Q2:Q1000"),H$3))</f>
        <v/>
      </c>
      <c r="I17" s="52">
        <f>iferror(H17/(F17+G17),"-")</f>
        <v/>
      </c>
    </row>
    <row r="18">
      <c r="B18" s="50" t="n"/>
      <c r="C18" s="50" t="inlineStr">
        <is>
          <t>Total</t>
        </is>
      </c>
      <c r="D18" s="50">
        <f>sum(D4:D17)</f>
        <v/>
      </c>
      <c r="E18" s="50">
        <f>sum(E4:E17)</f>
        <v/>
      </c>
      <c r="F18" s="50">
        <f>sum(F4:F17)</f>
        <v/>
      </c>
      <c r="G18" s="50">
        <f>sum(G4:G17)</f>
        <v/>
      </c>
      <c r="H18" s="50">
        <f>sum(H4:H17)</f>
        <v/>
      </c>
      <c r="I18" s="52">
        <f>iferror(H18/(F18+G18),"-")</f>
        <v/>
      </c>
    </row>
    <row r="19">
      <c r="B19" s="40" t="n"/>
      <c r="C19" s="40" t="n"/>
    </row>
    <row r="20">
      <c r="B20" s="40" t="n"/>
      <c r="C20" s="40" t="n"/>
    </row>
    <row r="21">
      <c r="B21" s="40" t="n"/>
      <c r="C21" s="40" t="n"/>
    </row>
    <row r="22">
      <c r="B22" s="40" t="n"/>
      <c r="C22" s="40" t="n"/>
    </row>
    <row r="23">
      <c r="B23" s="40" t="n"/>
      <c r="C23" s="40" t="n"/>
    </row>
    <row r="24">
      <c r="B24" s="40" t="n"/>
      <c r="C24" s="40" t="n"/>
    </row>
    <row r="25">
      <c r="B25" s="40" t="n"/>
      <c r="C25" s="40" t="n"/>
    </row>
    <row r="26">
      <c r="B26" s="40" t="n"/>
      <c r="C26" s="40" t="n"/>
    </row>
    <row r="27">
      <c r="B27" s="40" t="n"/>
      <c r="C27" s="40" t="n"/>
    </row>
    <row r="28">
      <c r="B28" s="40" t="n"/>
      <c r="C28" s="40" t="n"/>
    </row>
    <row r="29">
      <c r="B29" s="40" t="n"/>
      <c r="C29" s="40" t="n"/>
    </row>
    <row r="30">
      <c r="B30" s="40" t="n"/>
      <c r="C30" s="40" t="n"/>
    </row>
    <row r="31">
      <c r="B31" s="40" t="n"/>
      <c r="C31" s="40" t="n"/>
    </row>
    <row r="32">
      <c r="B32" s="40" t="n"/>
      <c r="C32" s="40" t="n"/>
    </row>
    <row r="33">
      <c r="B33" s="40" t="n"/>
      <c r="C33" s="40" t="n"/>
    </row>
    <row r="34">
      <c r="B34" s="40" t="n"/>
      <c r="C34" s="40" t="n"/>
    </row>
    <row r="35">
      <c r="B35" s="40" t="n"/>
      <c r="C35" s="40" t="n"/>
    </row>
    <row r="36">
      <c r="B36" s="40" t="n"/>
      <c r="C36" s="40" t="n"/>
    </row>
    <row r="37">
      <c r="B37" s="40" t="n"/>
      <c r="C37" s="40" t="n"/>
    </row>
    <row r="38">
      <c r="B38" s="40" t="n"/>
      <c r="C38" s="40" t="n"/>
    </row>
    <row r="39">
      <c r="B39" s="40" t="n"/>
      <c r="C39" s="40" t="n"/>
    </row>
    <row r="40">
      <c r="B40" s="40" t="n"/>
      <c r="C40" s="40" t="n"/>
    </row>
    <row r="41">
      <c r="B41" s="40" t="n"/>
      <c r="C41" s="40" t="n"/>
    </row>
    <row r="42">
      <c r="B42" s="40" t="n"/>
      <c r="C42" s="40" t="n"/>
    </row>
    <row r="43">
      <c r="B43" s="40" t="n"/>
      <c r="C43" s="40" t="n"/>
    </row>
    <row r="44">
      <c r="B44" s="40" t="n"/>
      <c r="C44" s="40" t="n"/>
    </row>
    <row r="45">
      <c r="B45" s="40" t="n"/>
      <c r="C45" s="40" t="n"/>
    </row>
    <row r="46">
      <c r="B46" s="40" t="n"/>
      <c r="C46" s="40" t="n"/>
    </row>
    <row r="47">
      <c r="B47" s="40" t="n"/>
      <c r="C47" s="40" t="n"/>
    </row>
    <row r="48">
      <c r="B48" s="40" t="n"/>
      <c r="C48" s="40" t="n"/>
    </row>
    <row r="49">
      <c r="B49" s="40" t="n"/>
      <c r="C49" s="40" t="n"/>
    </row>
    <row r="50">
      <c r="B50" s="40" t="n"/>
      <c r="C50" s="40" t="n"/>
    </row>
    <row r="51">
      <c r="B51" s="40" t="n"/>
      <c r="C51" s="40" t="n"/>
    </row>
    <row r="52">
      <c r="B52" s="40" t="n"/>
      <c r="C52" s="40" t="n"/>
    </row>
    <row r="53">
      <c r="B53" s="40" t="n"/>
      <c r="C53" s="40" t="n"/>
    </row>
    <row r="54">
      <c r="B54" s="40" t="n"/>
      <c r="C54" s="40" t="n"/>
    </row>
    <row r="55">
      <c r="B55" s="40" t="n"/>
      <c r="C55" s="40" t="n"/>
    </row>
    <row r="56">
      <c r="B56" s="40" t="n"/>
      <c r="C56" s="40" t="n"/>
    </row>
    <row r="57">
      <c r="B57" s="40" t="n"/>
      <c r="C57" s="40" t="n"/>
    </row>
    <row r="58">
      <c r="B58" s="40" t="n"/>
      <c r="C58" s="40" t="n"/>
    </row>
    <row r="59">
      <c r="B59" s="40" t="n"/>
      <c r="C59" s="40" t="n"/>
    </row>
    <row r="60">
      <c r="B60" s="40" t="n"/>
      <c r="C60" s="40" t="n"/>
    </row>
    <row r="61">
      <c r="B61" s="40" t="n"/>
      <c r="C61" s="40" t="n"/>
    </row>
    <row r="62">
      <c r="B62" s="40" t="n"/>
      <c r="C62" s="40" t="n"/>
    </row>
    <row r="63">
      <c r="B63" s="40" t="n"/>
      <c r="C63" s="40" t="n"/>
    </row>
    <row r="64">
      <c r="B64" s="40" t="n"/>
      <c r="C64" s="40" t="n"/>
    </row>
    <row r="65">
      <c r="B65" s="40" t="n"/>
      <c r="C65" s="40" t="n"/>
    </row>
    <row r="66">
      <c r="B66" s="40" t="n"/>
      <c r="C66" s="40" t="n"/>
    </row>
    <row r="67">
      <c r="B67" s="40" t="n"/>
      <c r="C67" s="40" t="n"/>
    </row>
    <row r="68">
      <c r="B68" s="40" t="n"/>
      <c r="C68" s="40" t="n"/>
    </row>
    <row r="69">
      <c r="B69" s="40" t="n"/>
      <c r="C69" s="40" t="n"/>
    </row>
    <row r="70">
      <c r="B70" s="40" t="n"/>
      <c r="C70" s="40" t="n"/>
    </row>
    <row r="71">
      <c r="B71" s="40" t="n"/>
      <c r="C71" s="40" t="n"/>
    </row>
    <row r="72">
      <c r="B72" s="40" t="n"/>
      <c r="C72" s="40" t="n"/>
    </row>
    <row r="73">
      <c r="B73" s="40" t="n"/>
      <c r="C73" s="40" t="n"/>
    </row>
    <row r="74">
      <c r="B74" s="40" t="n"/>
      <c r="C74" s="40" t="n"/>
    </row>
    <row r="75">
      <c r="B75" s="40" t="n"/>
      <c r="C75" s="40" t="n"/>
    </row>
    <row r="76">
      <c r="B76" s="40" t="n"/>
      <c r="C76" s="40" t="n"/>
    </row>
    <row r="77">
      <c r="B77" s="40" t="n"/>
      <c r="C77" s="40" t="n"/>
    </row>
    <row r="78">
      <c r="B78" s="40" t="n"/>
      <c r="C78" s="40" t="n"/>
    </row>
    <row r="79">
      <c r="B79" s="40" t="n"/>
      <c r="C79" s="40" t="n"/>
    </row>
    <row r="80">
      <c r="B80" s="40" t="n"/>
      <c r="C80" s="40" t="n"/>
    </row>
    <row r="81">
      <c r="B81" s="40" t="n"/>
      <c r="C81" s="40" t="n"/>
    </row>
    <row r="82">
      <c r="B82" s="40" t="n"/>
      <c r="C82" s="40" t="n"/>
    </row>
    <row r="83">
      <c r="B83" s="40" t="n"/>
      <c r="C83" s="40" t="n"/>
    </row>
    <row r="84">
      <c r="B84" s="40" t="n"/>
      <c r="C84" s="40" t="n"/>
    </row>
    <row r="85">
      <c r="B85" s="40" t="n"/>
      <c r="C85" s="40" t="n"/>
    </row>
    <row r="86">
      <c r="B86" s="40" t="n"/>
      <c r="C86" s="40" t="n"/>
    </row>
    <row r="87">
      <c r="B87" s="40" t="n"/>
      <c r="C87" s="40" t="n"/>
    </row>
    <row r="88">
      <c r="B88" s="40" t="n"/>
      <c r="C88" s="40" t="n"/>
    </row>
    <row r="89">
      <c r="B89" s="40" t="n"/>
      <c r="C89" s="40" t="n"/>
    </row>
    <row r="90">
      <c r="B90" s="40" t="n"/>
      <c r="C90" s="40" t="n"/>
    </row>
    <row r="91">
      <c r="B91" s="40" t="n"/>
      <c r="C91" s="40" t="n"/>
    </row>
    <row r="92">
      <c r="B92" s="40" t="n"/>
      <c r="C92" s="40" t="n"/>
    </row>
    <row r="93">
      <c r="B93" s="40" t="n"/>
      <c r="C93" s="40" t="n"/>
    </row>
    <row r="94">
      <c r="B94" s="40" t="n"/>
      <c r="C94" s="40" t="n"/>
    </row>
    <row r="95">
      <c r="B95" s="40" t="n"/>
      <c r="C95" s="40" t="n"/>
    </row>
    <row r="96">
      <c r="B96" s="40" t="n"/>
      <c r="C96" s="40" t="n"/>
    </row>
    <row r="97">
      <c r="B97" s="40" t="n"/>
      <c r="C97" s="40" t="n"/>
    </row>
    <row r="98">
      <c r="B98" s="40" t="n"/>
      <c r="C98" s="40" t="n"/>
    </row>
    <row r="99">
      <c r="B99" s="40" t="n"/>
      <c r="C99" s="40" t="n"/>
    </row>
    <row r="100">
      <c r="B100" s="40" t="n"/>
      <c r="C100" s="40" t="n"/>
    </row>
    <row r="101">
      <c r="B101" s="40" t="n"/>
      <c r="C101" s="40" t="n"/>
    </row>
    <row r="102">
      <c r="B102" s="40" t="n"/>
      <c r="C102" s="40" t="n"/>
    </row>
    <row r="103">
      <c r="B103" s="40" t="n"/>
      <c r="C103" s="40" t="n"/>
    </row>
    <row r="104">
      <c r="B104" s="40" t="n"/>
      <c r="C104" s="40" t="n"/>
    </row>
    <row r="105">
      <c r="B105" s="40" t="n"/>
      <c r="C105" s="40" t="n"/>
    </row>
    <row r="106">
      <c r="B106" s="40" t="n"/>
      <c r="C106" s="40" t="n"/>
    </row>
    <row r="107">
      <c r="B107" s="40" t="n"/>
      <c r="C107" s="40" t="n"/>
    </row>
    <row r="108">
      <c r="B108" s="40" t="n"/>
      <c r="C108" s="40" t="n"/>
    </row>
    <row r="109">
      <c r="B109" s="40" t="n"/>
      <c r="C109" s="40" t="n"/>
    </row>
    <row r="110">
      <c r="B110" s="40" t="n"/>
      <c r="C110" s="40" t="n"/>
    </row>
    <row r="111">
      <c r="B111" s="40" t="n"/>
      <c r="C111" s="40" t="n"/>
    </row>
    <row r="112">
      <c r="B112" s="40" t="n"/>
      <c r="C112" s="40" t="n"/>
    </row>
    <row r="113">
      <c r="B113" s="40" t="n"/>
      <c r="C113" s="40" t="n"/>
    </row>
    <row r="114">
      <c r="B114" s="40" t="n"/>
      <c r="C114" s="40" t="n"/>
    </row>
    <row r="115">
      <c r="B115" s="40" t="n"/>
      <c r="C115" s="40" t="n"/>
    </row>
    <row r="116">
      <c r="B116" s="40" t="n"/>
      <c r="C116" s="40" t="n"/>
    </row>
    <row r="117">
      <c r="B117" s="40" t="n"/>
      <c r="C117" s="40" t="n"/>
    </row>
    <row r="118">
      <c r="B118" s="40" t="n"/>
      <c r="C118" s="40" t="n"/>
    </row>
    <row r="119">
      <c r="B119" s="40" t="n"/>
      <c r="C119" s="40" t="n"/>
    </row>
    <row r="120">
      <c r="B120" s="40" t="n"/>
      <c r="C120" s="40" t="n"/>
    </row>
    <row r="121">
      <c r="B121" s="40" t="n"/>
      <c r="C121" s="40" t="n"/>
    </row>
    <row r="122">
      <c r="B122" s="40" t="n"/>
      <c r="C122" s="40" t="n"/>
    </row>
    <row r="123">
      <c r="B123" s="40" t="n"/>
      <c r="C123" s="40" t="n"/>
    </row>
    <row r="124">
      <c r="B124" s="40" t="n"/>
      <c r="C124" s="40" t="n"/>
    </row>
    <row r="125">
      <c r="B125" s="40" t="n"/>
      <c r="C125" s="40" t="n"/>
    </row>
    <row r="126">
      <c r="B126" s="40" t="n"/>
      <c r="C126" s="40" t="n"/>
    </row>
    <row r="127">
      <c r="B127" s="40" t="n"/>
      <c r="C127" s="40" t="n"/>
    </row>
    <row r="128">
      <c r="B128" s="40" t="n"/>
      <c r="C128" s="40" t="n"/>
    </row>
    <row r="129">
      <c r="B129" s="40" t="n"/>
      <c r="C129" s="40" t="n"/>
    </row>
    <row r="130">
      <c r="B130" s="40" t="n"/>
      <c r="C130" s="40" t="n"/>
    </row>
    <row r="131">
      <c r="B131" s="40" t="n"/>
      <c r="C131" s="40" t="n"/>
    </row>
    <row r="132">
      <c r="B132" s="40" t="n"/>
      <c r="C132" s="40" t="n"/>
    </row>
    <row r="133">
      <c r="B133" s="40" t="n"/>
      <c r="C133" s="40" t="n"/>
    </row>
    <row r="134">
      <c r="B134" s="40" t="n"/>
      <c r="C134" s="40" t="n"/>
    </row>
    <row r="135">
      <c r="B135" s="40" t="n"/>
      <c r="C135" s="40" t="n"/>
    </row>
    <row r="136">
      <c r="B136" s="40" t="n"/>
      <c r="C136" s="40" t="n"/>
    </row>
    <row r="137">
      <c r="B137" s="40" t="n"/>
      <c r="C137" s="40" t="n"/>
    </row>
    <row r="138">
      <c r="B138" s="40" t="n"/>
      <c r="C138" s="40" t="n"/>
    </row>
    <row r="139">
      <c r="B139" s="40" t="n"/>
      <c r="C139" s="40" t="n"/>
    </row>
    <row r="140">
      <c r="B140" s="40" t="n"/>
      <c r="C140" s="40" t="n"/>
    </row>
    <row r="141">
      <c r="B141" s="40" t="n"/>
      <c r="C141" s="40" t="n"/>
    </row>
    <row r="142">
      <c r="B142" s="40" t="n"/>
      <c r="C142" s="40" t="n"/>
    </row>
    <row r="143">
      <c r="B143" s="40" t="n"/>
      <c r="C143" s="40" t="n"/>
    </row>
    <row r="144">
      <c r="B144" s="40" t="n"/>
      <c r="C144" s="40" t="n"/>
    </row>
    <row r="145">
      <c r="B145" s="40" t="n"/>
      <c r="C145" s="40" t="n"/>
    </row>
    <row r="146">
      <c r="B146" s="40" t="n"/>
      <c r="C146" s="40" t="n"/>
    </row>
    <row r="147">
      <c r="B147" s="40" t="n"/>
      <c r="C147" s="40" t="n"/>
    </row>
    <row r="148">
      <c r="B148" s="40" t="n"/>
      <c r="C148" s="40" t="n"/>
    </row>
    <row r="149">
      <c r="B149" s="40" t="n"/>
      <c r="C149" s="40" t="n"/>
    </row>
    <row r="150">
      <c r="B150" s="40" t="n"/>
      <c r="C150" s="40" t="n"/>
    </row>
    <row r="151">
      <c r="B151" s="40" t="n"/>
      <c r="C151" s="40" t="n"/>
    </row>
    <row r="152">
      <c r="B152" s="40" t="n"/>
      <c r="C152" s="40" t="n"/>
    </row>
    <row r="153">
      <c r="B153" s="40" t="n"/>
      <c r="C153" s="40" t="n"/>
    </row>
    <row r="154">
      <c r="B154" s="40" t="n"/>
      <c r="C154" s="40" t="n"/>
    </row>
    <row r="155">
      <c r="B155" s="40" t="n"/>
      <c r="C155" s="40" t="n"/>
    </row>
    <row r="156">
      <c r="B156" s="40" t="n"/>
      <c r="C156" s="40" t="n"/>
    </row>
    <row r="157">
      <c r="B157" s="40" t="n"/>
      <c r="C157" s="40" t="n"/>
    </row>
    <row r="158">
      <c r="B158" s="40" t="n"/>
      <c r="C158" s="40" t="n"/>
    </row>
    <row r="159">
      <c r="B159" s="40" t="n"/>
      <c r="C159" s="40" t="n"/>
    </row>
    <row r="160">
      <c r="B160" s="40" t="n"/>
      <c r="C160" s="40" t="n"/>
    </row>
    <row r="161">
      <c r="B161" s="40" t="n"/>
      <c r="C161" s="40" t="n"/>
    </row>
    <row r="162">
      <c r="B162" s="40" t="n"/>
      <c r="C162" s="40" t="n"/>
    </row>
    <row r="163">
      <c r="B163" s="40" t="n"/>
      <c r="C163" s="40" t="n"/>
    </row>
    <row r="164">
      <c r="B164" s="40" t="n"/>
      <c r="C164" s="40" t="n"/>
    </row>
    <row r="165">
      <c r="B165" s="40" t="n"/>
      <c r="C165" s="40" t="n"/>
    </row>
    <row r="166">
      <c r="B166" s="40" t="n"/>
      <c r="C166" s="40" t="n"/>
    </row>
    <row r="167">
      <c r="B167" s="40" t="n"/>
      <c r="C167" s="40" t="n"/>
    </row>
    <row r="168">
      <c r="B168" s="40" t="n"/>
      <c r="C168" s="40" t="n"/>
    </row>
    <row r="169">
      <c r="B169" s="40" t="n"/>
      <c r="C169" s="40" t="n"/>
    </row>
    <row r="170">
      <c r="B170" s="40" t="n"/>
      <c r="C170" s="40" t="n"/>
    </row>
    <row r="171">
      <c r="B171" s="40" t="n"/>
      <c r="C171" s="40" t="n"/>
    </row>
    <row r="172">
      <c r="B172" s="40" t="n"/>
      <c r="C172" s="40" t="n"/>
    </row>
    <row r="173">
      <c r="B173" s="40" t="n"/>
      <c r="C173" s="40" t="n"/>
    </row>
    <row r="174">
      <c r="B174" s="40" t="n"/>
      <c r="C174" s="40" t="n"/>
    </row>
    <row r="175">
      <c r="B175" s="40" t="n"/>
      <c r="C175" s="40" t="n"/>
    </row>
    <row r="176">
      <c r="B176" s="40" t="n"/>
      <c r="C176" s="40" t="n"/>
    </row>
    <row r="177">
      <c r="B177" s="40" t="n"/>
      <c r="C177" s="40" t="n"/>
    </row>
    <row r="178">
      <c r="B178" s="40" t="n"/>
      <c r="C178" s="40" t="n"/>
    </row>
    <row r="179">
      <c r="B179" s="40" t="n"/>
      <c r="C179" s="40" t="n"/>
    </row>
    <row r="180">
      <c r="B180" s="40" t="n"/>
      <c r="C180" s="40" t="n"/>
    </row>
    <row r="181">
      <c r="B181" s="40" t="n"/>
      <c r="C181" s="40" t="n"/>
    </row>
    <row r="182">
      <c r="B182" s="40" t="n"/>
      <c r="C182" s="40" t="n"/>
    </row>
    <row r="183">
      <c r="B183" s="40" t="n"/>
      <c r="C183" s="40" t="n"/>
    </row>
    <row r="184">
      <c r="B184" s="40" t="n"/>
      <c r="C184" s="40" t="n"/>
    </row>
    <row r="185">
      <c r="B185" s="40" t="n"/>
      <c r="C185" s="40" t="n"/>
    </row>
    <row r="186">
      <c r="B186" s="40" t="n"/>
      <c r="C186" s="40" t="n"/>
    </row>
    <row r="187">
      <c r="B187" s="40" t="n"/>
      <c r="C187" s="40" t="n"/>
    </row>
    <row r="188">
      <c r="B188" s="40" t="n"/>
      <c r="C188" s="40" t="n"/>
    </row>
    <row r="189">
      <c r="B189" s="40" t="n"/>
      <c r="C189" s="40" t="n"/>
    </row>
    <row r="190">
      <c r="B190" s="40" t="n"/>
      <c r="C190" s="40" t="n"/>
    </row>
    <row r="191">
      <c r="B191" s="40" t="n"/>
      <c r="C191" s="40" t="n"/>
    </row>
    <row r="192">
      <c r="B192" s="40" t="n"/>
      <c r="C192" s="40" t="n"/>
    </row>
    <row r="193">
      <c r="B193" s="40" t="n"/>
      <c r="C193" s="40" t="n"/>
    </row>
    <row r="194">
      <c r="B194" s="40" t="n"/>
      <c r="C194" s="40" t="n"/>
    </row>
    <row r="195">
      <c r="B195" s="40" t="n"/>
      <c r="C195" s="40" t="n"/>
    </row>
    <row r="196">
      <c r="B196" s="40" t="n"/>
      <c r="C196" s="40" t="n"/>
    </row>
    <row r="197">
      <c r="B197" s="40" t="n"/>
      <c r="C197" s="40" t="n"/>
    </row>
    <row r="198">
      <c r="B198" s="40" t="n"/>
      <c r="C198" s="40" t="n"/>
    </row>
    <row r="199">
      <c r="B199" s="40" t="n"/>
      <c r="C199" s="40" t="n"/>
    </row>
    <row r="200">
      <c r="B200" s="40" t="n"/>
      <c r="C200" s="40" t="n"/>
    </row>
    <row r="201">
      <c r="B201" s="40" t="n"/>
      <c r="C201" s="40" t="n"/>
    </row>
    <row r="202">
      <c r="B202" s="40" t="n"/>
      <c r="C202" s="40" t="n"/>
    </row>
    <row r="203">
      <c r="B203" s="40" t="n"/>
      <c r="C203" s="40" t="n"/>
    </row>
    <row r="204">
      <c r="B204" s="40" t="n"/>
      <c r="C204" s="40" t="n"/>
    </row>
    <row r="205">
      <c r="B205" s="40" t="n"/>
      <c r="C205" s="40" t="n"/>
    </row>
    <row r="206">
      <c r="B206" s="40" t="n"/>
      <c r="C206" s="40" t="n"/>
    </row>
    <row r="207">
      <c r="B207" s="40" t="n"/>
      <c r="C207" s="40" t="n"/>
    </row>
    <row r="208">
      <c r="B208" s="40" t="n"/>
      <c r="C208" s="40" t="n"/>
    </row>
    <row r="209">
      <c r="B209" s="40" t="n"/>
      <c r="C209" s="40" t="n"/>
    </row>
    <row r="210">
      <c r="B210" s="40" t="n"/>
      <c r="C210" s="40" t="n"/>
    </row>
    <row r="211">
      <c r="B211" s="40" t="n"/>
      <c r="C211" s="40" t="n"/>
    </row>
    <row r="212">
      <c r="B212" s="40" t="n"/>
      <c r="C212" s="40" t="n"/>
    </row>
    <row r="213">
      <c r="B213" s="40" t="n"/>
      <c r="C213" s="40" t="n"/>
    </row>
    <row r="214">
      <c r="B214" s="40" t="n"/>
      <c r="C214" s="40" t="n"/>
    </row>
    <row r="215">
      <c r="B215" s="40" t="n"/>
      <c r="C215" s="40" t="n"/>
    </row>
    <row r="216">
      <c r="B216" s="40" t="n"/>
      <c r="C216" s="40" t="n"/>
    </row>
    <row r="217">
      <c r="B217" s="40" t="n"/>
      <c r="C217" s="40" t="n"/>
    </row>
    <row r="218">
      <c r="B218" s="40" t="n"/>
      <c r="C218" s="40" t="n"/>
    </row>
    <row r="219">
      <c r="B219" s="40" t="n"/>
      <c r="C219" s="40" t="n"/>
    </row>
    <row r="220">
      <c r="B220" s="40" t="n"/>
      <c r="C220" s="40" t="n"/>
    </row>
    <row r="221">
      <c r="B221" s="40" t="n"/>
      <c r="C221" s="40" t="n"/>
    </row>
    <row r="222">
      <c r="B222" s="40" t="n"/>
      <c r="C222" s="40" t="n"/>
    </row>
    <row r="223">
      <c r="B223" s="40" t="n"/>
      <c r="C223" s="40" t="n"/>
    </row>
    <row r="224">
      <c r="B224" s="40" t="n"/>
      <c r="C224" s="40" t="n"/>
    </row>
    <row r="225">
      <c r="B225" s="40" t="n"/>
      <c r="C225" s="40" t="n"/>
    </row>
    <row r="226">
      <c r="B226" s="40" t="n"/>
      <c r="C226" s="40" t="n"/>
    </row>
    <row r="227">
      <c r="B227" s="40" t="n"/>
      <c r="C227" s="40" t="n"/>
    </row>
    <row r="228">
      <c r="B228" s="40" t="n"/>
      <c r="C228" s="40" t="n"/>
    </row>
    <row r="229">
      <c r="B229" s="40" t="n"/>
      <c r="C229" s="40" t="n"/>
    </row>
    <row r="230">
      <c r="B230" s="40" t="n"/>
      <c r="C230" s="40" t="n"/>
    </row>
    <row r="231">
      <c r="B231" s="40" t="n"/>
      <c r="C231" s="40" t="n"/>
    </row>
    <row r="232">
      <c r="B232" s="40" t="n"/>
      <c r="C232" s="40" t="n"/>
    </row>
    <row r="233">
      <c r="B233" s="40" t="n"/>
      <c r="C233" s="40" t="n"/>
    </row>
    <row r="234">
      <c r="B234" s="40" t="n"/>
      <c r="C234" s="40" t="n"/>
    </row>
    <row r="235">
      <c r="B235" s="40" t="n"/>
      <c r="C235" s="40" t="n"/>
    </row>
    <row r="236">
      <c r="B236" s="40" t="n"/>
      <c r="C236" s="40" t="n"/>
    </row>
    <row r="237">
      <c r="B237" s="40" t="n"/>
      <c r="C237" s="40" t="n"/>
    </row>
    <row r="238">
      <c r="B238" s="40" t="n"/>
      <c r="C238" s="40" t="n"/>
    </row>
    <row r="239">
      <c r="B239" s="40" t="n"/>
      <c r="C239" s="40" t="n"/>
    </row>
    <row r="240">
      <c r="B240" s="40" t="n"/>
      <c r="C240" s="40" t="n"/>
    </row>
    <row r="241">
      <c r="B241" s="40" t="n"/>
      <c r="C241" s="40" t="n"/>
    </row>
    <row r="242">
      <c r="B242" s="40" t="n"/>
      <c r="C242" s="40" t="n"/>
    </row>
    <row r="243">
      <c r="B243" s="40" t="n"/>
      <c r="C243" s="40" t="n"/>
    </row>
    <row r="244">
      <c r="B244" s="40" t="n"/>
      <c r="C244" s="40" t="n"/>
    </row>
    <row r="245">
      <c r="B245" s="40" t="n"/>
      <c r="C245" s="40" t="n"/>
    </row>
    <row r="246">
      <c r="B246" s="40" t="n"/>
      <c r="C246" s="40" t="n"/>
    </row>
    <row r="247">
      <c r="B247" s="40" t="n"/>
      <c r="C247" s="40" t="n"/>
    </row>
    <row r="248">
      <c r="B248" s="40" t="n"/>
      <c r="C248" s="40" t="n"/>
    </row>
    <row r="249">
      <c r="B249" s="40" t="n"/>
      <c r="C249" s="40" t="n"/>
    </row>
    <row r="250">
      <c r="B250" s="40" t="n"/>
      <c r="C250" s="40" t="n"/>
    </row>
    <row r="251">
      <c r="B251" s="40" t="n"/>
      <c r="C251" s="40" t="n"/>
    </row>
    <row r="252">
      <c r="B252" s="40" t="n"/>
      <c r="C252" s="40" t="n"/>
    </row>
    <row r="253">
      <c r="B253" s="40" t="n"/>
      <c r="C253" s="40" t="n"/>
    </row>
    <row r="254">
      <c r="B254" s="40" t="n"/>
      <c r="C254" s="40" t="n"/>
    </row>
    <row r="255">
      <c r="B255" s="40" t="n"/>
      <c r="C255" s="40" t="n"/>
    </row>
    <row r="256">
      <c r="B256" s="40" t="n"/>
      <c r="C256" s="40" t="n"/>
    </row>
    <row r="257">
      <c r="B257" s="40" t="n"/>
      <c r="C257" s="40" t="n"/>
    </row>
    <row r="258">
      <c r="B258" s="40" t="n"/>
      <c r="C258" s="40" t="n"/>
    </row>
    <row r="259">
      <c r="B259" s="40" t="n"/>
      <c r="C259" s="40" t="n"/>
    </row>
    <row r="260">
      <c r="B260" s="40" t="n"/>
      <c r="C260" s="40" t="n"/>
    </row>
    <row r="261">
      <c r="B261" s="40" t="n"/>
      <c r="C261" s="40" t="n"/>
    </row>
    <row r="262">
      <c r="B262" s="40" t="n"/>
      <c r="C262" s="40" t="n"/>
    </row>
    <row r="263">
      <c r="B263" s="40" t="n"/>
      <c r="C263" s="40" t="n"/>
    </row>
    <row r="264">
      <c r="B264" s="40" t="n"/>
      <c r="C264" s="40" t="n"/>
    </row>
    <row r="265">
      <c r="B265" s="40" t="n"/>
      <c r="C265" s="40" t="n"/>
    </row>
    <row r="266">
      <c r="B266" s="40" t="n"/>
      <c r="C266" s="40" t="n"/>
    </row>
    <row r="267">
      <c r="B267" s="40" t="n"/>
      <c r="C267" s="40" t="n"/>
    </row>
    <row r="268">
      <c r="B268" s="40" t="n"/>
      <c r="C268" s="40" t="n"/>
    </row>
    <row r="269">
      <c r="B269" s="40" t="n"/>
      <c r="C269" s="40" t="n"/>
    </row>
    <row r="270">
      <c r="B270" s="40" t="n"/>
      <c r="C270" s="40" t="n"/>
    </row>
    <row r="271">
      <c r="B271" s="40" t="n"/>
      <c r="C271" s="40" t="n"/>
    </row>
    <row r="272">
      <c r="B272" s="40" t="n"/>
      <c r="C272" s="40" t="n"/>
    </row>
    <row r="273">
      <c r="B273" s="40" t="n"/>
      <c r="C273" s="40" t="n"/>
    </row>
    <row r="274">
      <c r="B274" s="40" t="n"/>
      <c r="C274" s="40" t="n"/>
    </row>
    <row r="275">
      <c r="B275" s="40" t="n"/>
      <c r="C275" s="40" t="n"/>
    </row>
    <row r="276">
      <c r="B276" s="40" t="n"/>
      <c r="C276" s="40" t="n"/>
    </row>
    <row r="277">
      <c r="B277" s="40" t="n"/>
      <c r="C277" s="40" t="n"/>
    </row>
    <row r="278">
      <c r="B278" s="40" t="n"/>
      <c r="C278" s="40" t="n"/>
    </row>
    <row r="279">
      <c r="B279" s="40" t="n"/>
      <c r="C279" s="40" t="n"/>
    </row>
    <row r="280">
      <c r="B280" s="40" t="n"/>
      <c r="C280" s="40" t="n"/>
    </row>
    <row r="281">
      <c r="B281" s="40" t="n"/>
      <c r="C281" s="40" t="n"/>
    </row>
    <row r="282">
      <c r="B282" s="40" t="n"/>
      <c r="C282" s="40" t="n"/>
    </row>
    <row r="283">
      <c r="B283" s="40" t="n"/>
      <c r="C283" s="40" t="n"/>
    </row>
    <row r="284">
      <c r="B284" s="40" t="n"/>
      <c r="C284" s="40" t="n"/>
    </row>
    <row r="285">
      <c r="B285" s="40" t="n"/>
      <c r="C285" s="40" t="n"/>
    </row>
    <row r="286">
      <c r="B286" s="40" t="n"/>
      <c r="C286" s="40" t="n"/>
    </row>
    <row r="287">
      <c r="B287" s="40" t="n"/>
      <c r="C287" s="40" t="n"/>
    </row>
    <row r="288">
      <c r="B288" s="40" t="n"/>
      <c r="C288" s="40" t="n"/>
    </row>
    <row r="289">
      <c r="B289" s="40" t="n"/>
      <c r="C289" s="40" t="n"/>
    </row>
    <row r="290">
      <c r="B290" s="40" t="n"/>
      <c r="C290" s="40" t="n"/>
    </row>
    <row r="291">
      <c r="B291" s="40" t="n"/>
      <c r="C291" s="40" t="n"/>
    </row>
    <row r="292">
      <c r="B292" s="40" t="n"/>
      <c r="C292" s="40" t="n"/>
    </row>
    <row r="293">
      <c r="B293" s="40" t="n"/>
      <c r="C293" s="40" t="n"/>
    </row>
    <row r="294">
      <c r="B294" s="40" t="n"/>
      <c r="C294" s="40" t="n"/>
    </row>
    <row r="295">
      <c r="B295" s="40" t="n"/>
      <c r="C295" s="40" t="n"/>
    </row>
    <row r="296">
      <c r="B296" s="40" t="n"/>
      <c r="C296" s="40" t="n"/>
    </row>
    <row r="297">
      <c r="B297" s="40" t="n"/>
      <c r="C297" s="40" t="n"/>
    </row>
    <row r="298">
      <c r="B298" s="40" t="n"/>
      <c r="C298" s="40" t="n"/>
    </row>
    <row r="299">
      <c r="B299" s="40" t="n"/>
      <c r="C299" s="40" t="n"/>
    </row>
    <row r="300">
      <c r="B300" s="40" t="n"/>
      <c r="C300" s="40" t="n"/>
    </row>
    <row r="301">
      <c r="B301" s="40" t="n"/>
      <c r="C301" s="40" t="n"/>
    </row>
    <row r="302">
      <c r="B302" s="40" t="n"/>
      <c r="C302" s="40" t="n"/>
    </row>
    <row r="303">
      <c r="B303" s="40" t="n"/>
      <c r="C303" s="40" t="n"/>
    </row>
    <row r="304">
      <c r="B304" s="40" t="n"/>
      <c r="C304" s="40" t="n"/>
    </row>
    <row r="305">
      <c r="B305" s="40" t="n"/>
      <c r="C305" s="40" t="n"/>
    </row>
    <row r="306">
      <c r="B306" s="40" t="n"/>
      <c r="C306" s="40" t="n"/>
    </row>
    <row r="307">
      <c r="B307" s="40" t="n"/>
      <c r="C307" s="40" t="n"/>
    </row>
    <row r="308">
      <c r="B308" s="40" t="n"/>
      <c r="C308" s="40" t="n"/>
    </row>
    <row r="309">
      <c r="B309" s="40" t="n"/>
      <c r="C309" s="40" t="n"/>
    </row>
    <row r="310">
      <c r="B310" s="40" t="n"/>
      <c r="C310" s="40" t="n"/>
    </row>
    <row r="311">
      <c r="B311" s="40" t="n"/>
      <c r="C311" s="40" t="n"/>
    </row>
    <row r="312">
      <c r="B312" s="40" t="n"/>
      <c r="C312" s="40" t="n"/>
    </row>
    <row r="313">
      <c r="B313" s="40" t="n"/>
      <c r="C313" s="40" t="n"/>
    </row>
    <row r="314">
      <c r="B314" s="40" t="n"/>
      <c r="C314" s="40" t="n"/>
    </row>
    <row r="315">
      <c r="B315" s="40" t="n"/>
      <c r="C315" s="40" t="n"/>
    </row>
    <row r="316">
      <c r="B316" s="40" t="n"/>
      <c r="C316" s="40" t="n"/>
    </row>
    <row r="317">
      <c r="B317" s="40" t="n"/>
      <c r="C317" s="40" t="n"/>
    </row>
    <row r="318">
      <c r="B318" s="40" t="n"/>
      <c r="C318" s="40" t="n"/>
    </row>
    <row r="319">
      <c r="B319" s="40" t="n"/>
      <c r="C319" s="40" t="n"/>
    </row>
    <row r="320">
      <c r="B320" s="40" t="n"/>
      <c r="C320" s="40" t="n"/>
    </row>
    <row r="321">
      <c r="B321" s="40" t="n"/>
      <c r="C321" s="40" t="n"/>
    </row>
    <row r="322">
      <c r="B322" s="40" t="n"/>
      <c r="C322" s="40" t="n"/>
    </row>
    <row r="323">
      <c r="B323" s="40" t="n"/>
      <c r="C323" s="40" t="n"/>
    </row>
    <row r="324">
      <c r="B324" s="40" t="n"/>
      <c r="C324" s="40" t="n"/>
    </row>
    <row r="325">
      <c r="B325" s="40" t="n"/>
      <c r="C325" s="40" t="n"/>
    </row>
    <row r="326">
      <c r="B326" s="40" t="n"/>
      <c r="C326" s="40" t="n"/>
    </row>
    <row r="327">
      <c r="B327" s="40" t="n"/>
      <c r="C327" s="40" t="n"/>
    </row>
    <row r="328">
      <c r="B328" s="40" t="n"/>
      <c r="C328" s="40" t="n"/>
    </row>
    <row r="329">
      <c r="B329" s="40" t="n"/>
      <c r="C329" s="40" t="n"/>
    </row>
    <row r="330">
      <c r="B330" s="40" t="n"/>
      <c r="C330" s="40" t="n"/>
    </row>
    <row r="331">
      <c r="B331" s="40" t="n"/>
      <c r="C331" s="40" t="n"/>
    </row>
    <row r="332">
      <c r="B332" s="40" t="n"/>
      <c r="C332" s="40" t="n"/>
    </row>
    <row r="333">
      <c r="B333" s="40" t="n"/>
      <c r="C333" s="40" t="n"/>
    </row>
    <row r="334">
      <c r="B334" s="40" t="n"/>
      <c r="C334" s="40" t="n"/>
    </row>
    <row r="335">
      <c r="B335" s="40" t="n"/>
      <c r="C335" s="40" t="n"/>
    </row>
    <row r="336">
      <c r="B336" s="40" t="n"/>
      <c r="C336" s="40" t="n"/>
    </row>
    <row r="337">
      <c r="B337" s="40" t="n"/>
      <c r="C337" s="40" t="n"/>
    </row>
    <row r="338">
      <c r="B338" s="40" t="n"/>
      <c r="C338" s="40" t="n"/>
    </row>
    <row r="339">
      <c r="B339" s="40" t="n"/>
      <c r="C339" s="40" t="n"/>
    </row>
    <row r="340">
      <c r="B340" s="40" t="n"/>
      <c r="C340" s="40" t="n"/>
    </row>
    <row r="341">
      <c r="B341" s="40" t="n"/>
      <c r="C341" s="40" t="n"/>
    </row>
    <row r="342">
      <c r="B342" s="40" t="n"/>
      <c r="C342" s="40" t="n"/>
    </row>
    <row r="343">
      <c r="B343" s="40" t="n"/>
      <c r="C343" s="40" t="n"/>
    </row>
    <row r="344">
      <c r="B344" s="40" t="n"/>
      <c r="C344" s="40" t="n"/>
    </row>
    <row r="345">
      <c r="B345" s="40" t="n"/>
      <c r="C345" s="40" t="n"/>
    </row>
    <row r="346">
      <c r="B346" s="40" t="n"/>
      <c r="C346" s="40" t="n"/>
    </row>
    <row r="347">
      <c r="B347" s="40" t="n"/>
      <c r="C347" s="40" t="n"/>
    </row>
    <row r="348">
      <c r="B348" s="40" t="n"/>
      <c r="C348" s="40" t="n"/>
    </row>
    <row r="349">
      <c r="B349" s="40" t="n"/>
      <c r="C349" s="40" t="n"/>
    </row>
    <row r="350">
      <c r="B350" s="40" t="n"/>
      <c r="C350" s="40" t="n"/>
    </row>
    <row r="351">
      <c r="B351" s="40" t="n"/>
      <c r="C351" s="40" t="n"/>
    </row>
    <row r="352">
      <c r="B352" s="40" t="n"/>
      <c r="C352" s="40" t="n"/>
    </row>
    <row r="353">
      <c r="B353" s="40" t="n"/>
      <c r="C353" s="40" t="n"/>
    </row>
    <row r="354">
      <c r="B354" s="40" t="n"/>
      <c r="C354" s="40" t="n"/>
    </row>
    <row r="355">
      <c r="B355" s="40" t="n"/>
      <c r="C355" s="40" t="n"/>
    </row>
    <row r="356">
      <c r="B356" s="40" t="n"/>
      <c r="C356" s="40" t="n"/>
    </row>
    <row r="357">
      <c r="B357" s="40" t="n"/>
      <c r="C357" s="40" t="n"/>
    </row>
    <row r="358">
      <c r="B358" s="40" t="n"/>
      <c r="C358" s="40" t="n"/>
    </row>
    <row r="359">
      <c r="B359" s="40" t="n"/>
      <c r="C359" s="40" t="n"/>
    </row>
    <row r="360">
      <c r="B360" s="40" t="n"/>
      <c r="C360" s="40" t="n"/>
    </row>
    <row r="361">
      <c r="B361" s="40" t="n"/>
      <c r="C361" s="40" t="n"/>
    </row>
    <row r="362">
      <c r="B362" s="40" t="n"/>
      <c r="C362" s="40" t="n"/>
    </row>
    <row r="363">
      <c r="B363" s="40" t="n"/>
      <c r="C363" s="40" t="n"/>
    </row>
    <row r="364">
      <c r="B364" s="40" t="n"/>
      <c r="C364" s="40" t="n"/>
    </row>
    <row r="365">
      <c r="B365" s="40" t="n"/>
      <c r="C365" s="40" t="n"/>
    </row>
    <row r="366">
      <c r="B366" s="40" t="n"/>
      <c r="C366" s="40" t="n"/>
    </row>
    <row r="367">
      <c r="B367" s="40" t="n"/>
      <c r="C367" s="40" t="n"/>
    </row>
    <row r="368">
      <c r="B368" s="40" t="n"/>
      <c r="C368" s="40" t="n"/>
    </row>
    <row r="369">
      <c r="B369" s="40" t="n"/>
      <c r="C369" s="40" t="n"/>
    </row>
    <row r="370">
      <c r="B370" s="40" t="n"/>
      <c r="C370" s="40" t="n"/>
    </row>
    <row r="371">
      <c r="B371" s="40" t="n"/>
      <c r="C371" s="40" t="n"/>
    </row>
    <row r="372">
      <c r="B372" s="40" t="n"/>
      <c r="C372" s="40" t="n"/>
    </row>
    <row r="373">
      <c r="B373" s="40" t="n"/>
      <c r="C373" s="40" t="n"/>
    </row>
    <row r="374">
      <c r="B374" s="40" t="n"/>
      <c r="C374" s="40" t="n"/>
    </row>
    <row r="375">
      <c r="B375" s="40" t="n"/>
      <c r="C375" s="40" t="n"/>
    </row>
    <row r="376">
      <c r="B376" s="40" t="n"/>
      <c r="C376" s="40" t="n"/>
    </row>
    <row r="377">
      <c r="B377" s="40" t="n"/>
      <c r="C377" s="40" t="n"/>
    </row>
    <row r="378">
      <c r="B378" s="40" t="n"/>
      <c r="C378" s="40" t="n"/>
    </row>
    <row r="379">
      <c r="B379" s="40" t="n"/>
      <c r="C379" s="40" t="n"/>
    </row>
    <row r="380">
      <c r="B380" s="40" t="n"/>
      <c r="C380" s="40" t="n"/>
    </row>
    <row r="381">
      <c r="B381" s="40" t="n"/>
      <c r="C381" s="40" t="n"/>
    </row>
    <row r="382">
      <c r="B382" s="40" t="n"/>
      <c r="C382" s="40" t="n"/>
    </row>
    <row r="383">
      <c r="B383" s="40" t="n"/>
      <c r="C383" s="40" t="n"/>
    </row>
    <row r="384">
      <c r="B384" s="40" t="n"/>
      <c r="C384" s="40" t="n"/>
    </row>
    <row r="385">
      <c r="B385" s="40" t="n"/>
      <c r="C385" s="40" t="n"/>
    </row>
    <row r="386">
      <c r="B386" s="40" t="n"/>
      <c r="C386" s="40" t="n"/>
    </row>
    <row r="387">
      <c r="B387" s="40" t="n"/>
      <c r="C387" s="40" t="n"/>
    </row>
    <row r="388">
      <c r="B388" s="40" t="n"/>
      <c r="C388" s="40" t="n"/>
    </row>
    <row r="389">
      <c r="B389" s="40" t="n"/>
      <c r="C389" s="40" t="n"/>
    </row>
    <row r="390">
      <c r="B390" s="40" t="n"/>
      <c r="C390" s="40" t="n"/>
    </row>
    <row r="391">
      <c r="B391" s="40" t="n"/>
      <c r="C391" s="40" t="n"/>
    </row>
    <row r="392">
      <c r="B392" s="40" t="n"/>
      <c r="C392" s="40" t="n"/>
    </row>
    <row r="393">
      <c r="B393" s="40" t="n"/>
      <c r="C393" s="40" t="n"/>
    </row>
    <row r="394">
      <c r="B394" s="40" t="n"/>
      <c r="C394" s="40" t="n"/>
    </row>
    <row r="395">
      <c r="B395" s="40" t="n"/>
      <c r="C395" s="40" t="n"/>
    </row>
    <row r="396">
      <c r="B396" s="40" t="n"/>
      <c r="C396" s="40" t="n"/>
    </row>
    <row r="397">
      <c r="B397" s="40" t="n"/>
      <c r="C397" s="40" t="n"/>
    </row>
    <row r="398">
      <c r="B398" s="40" t="n"/>
      <c r="C398" s="40" t="n"/>
    </row>
    <row r="399">
      <c r="B399" s="40" t="n"/>
      <c r="C399" s="40" t="n"/>
    </row>
    <row r="400">
      <c r="B400" s="40" t="n"/>
      <c r="C400" s="40" t="n"/>
    </row>
    <row r="401">
      <c r="B401" s="40" t="n"/>
      <c r="C401" s="40" t="n"/>
    </row>
    <row r="402">
      <c r="B402" s="40" t="n"/>
      <c r="C402" s="40" t="n"/>
    </row>
    <row r="403">
      <c r="B403" s="40" t="n"/>
      <c r="C403" s="40" t="n"/>
    </row>
    <row r="404">
      <c r="B404" s="40" t="n"/>
      <c r="C404" s="40" t="n"/>
    </row>
    <row r="405">
      <c r="B405" s="40" t="n"/>
      <c r="C405" s="40" t="n"/>
    </row>
    <row r="406">
      <c r="B406" s="40" t="n"/>
      <c r="C406" s="40" t="n"/>
    </row>
    <row r="407">
      <c r="B407" s="40" t="n"/>
      <c r="C407" s="40" t="n"/>
    </row>
    <row r="408">
      <c r="B408" s="40" t="n"/>
      <c r="C408" s="40" t="n"/>
    </row>
    <row r="409">
      <c r="B409" s="40" t="n"/>
      <c r="C409" s="40" t="n"/>
    </row>
    <row r="410">
      <c r="B410" s="40" t="n"/>
      <c r="C410" s="40" t="n"/>
    </row>
    <row r="411">
      <c r="B411" s="40" t="n"/>
      <c r="C411" s="40" t="n"/>
    </row>
    <row r="412">
      <c r="B412" s="40" t="n"/>
      <c r="C412" s="40" t="n"/>
    </row>
    <row r="413">
      <c r="B413" s="40" t="n"/>
      <c r="C413" s="40" t="n"/>
    </row>
    <row r="414">
      <c r="B414" s="40" t="n"/>
      <c r="C414" s="40" t="n"/>
    </row>
    <row r="415">
      <c r="B415" s="40" t="n"/>
      <c r="C415" s="40" t="n"/>
    </row>
    <row r="416">
      <c r="B416" s="40" t="n"/>
      <c r="C416" s="40" t="n"/>
    </row>
    <row r="417">
      <c r="B417" s="40" t="n"/>
      <c r="C417" s="40" t="n"/>
    </row>
    <row r="418">
      <c r="B418" s="40" t="n"/>
      <c r="C418" s="40" t="n"/>
    </row>
    <row r="419">
      <c r="B419" s="40" t="n"/>
      <c r="C419" s="40" t="n"/>
    </row>
    <row r="420">
      <c r="B420" s="40" t="n"/>
      <c r="C420" s="40" t="n"/>
    </row>
    <row r="421">
      <c r="B421" s="40" t="n"/>
      <c r="C421" s="40" t="n"/>
    </row>
    <row r="422">
      <c r="B422" s="40" t="n"/>
      <c r="C422" s="40" t="n"/>
    </row>
    <row r="423">
      <c r="B423" s="40" t="n"/>
      <c r="C423" s="40" t="n"/>
    </row>
    <row r="424">
      <c r="B424" s="40" t="n"/>
      <c r="C424" s="40" t="n"/>
    </row>
    <row r="425">
      <c r="B425" s="40" t="n"/>
      <c r="C425" s="40" t="n"/>
    </row>
    <row r="426">
      <c r="B426" s="40" t="n"/>
      <c r="C426" s="40" t="n"/>
    </row>
    <row r="427">
      <c r="B427" s="40" t="n"/>
      <c r="C427" s="40" t="n"/>
    </row>
    <row r="428">
      <c r="B428" s="40" t="n"/>
      <c r="C428" s="40" t="n"/>
    </row>
    <row r="429">
      <c r="B429" s="40" t="n"/>
      <c r="C429" s="40" t="n"/>
    </row>
    <row r="430">
      <c r="B430" s="40" t="n"/>
      <c r="C430" s="40" t="n"/>
    </row>
    <row r="431">
      <c r="B431" s="40" t="n"/>
      <c r="C431" s="40" t="n"/>
    </row>
    <row r="432">
      <c r="B432" s="40" t="n"/>
      <c r="C432" s="40" t="n"/>
    </row>
    <row r="433">
      <c r="B433" s="40" t="n"/>
      <c r="C433" s="40" t="n"/>
    </row>
    <row r="434">
      <c r="B434" s="40" t="n"/>
      <c r="C434" s="40" t="n"/>
    </row>
    <row r="435">
      <c r="B435" s="40" t="n"/>
      <c r="C435" s="40" t="n"/>
    </row>
    <row r="436">
      <c r="B436" s="40" t="n"/>
      <c r="C436" s="40" t="n"/>
    </row>
    <row r="437">
      <c r="B437" s="40" t="n"/>
      <c r="C437" s="40" t="n"/>
    </row>
    <row r="438">
      <c r="B438" s="40" t="n"/>
      <c r="C438" s="40" t="n"/>
    </row>
    <row r="439">
      <c r="B439" s="40" t="n"/>
      <c r="C439" s="40" t="n"/>
    </row>
    <row r="440">
      <c r="B440" s="40" t="n"/>
      <c r="C440" s="40" t="n"/>
    </row>
    <row r="441">
      <c r="B441" s="40" t="n"/>
      <c r="C441" s="40" t="n"/>
    </row>
    <row r="442">
      <c r="B442" s="40" t="n"/>
      <c r="C442" s="40" t="n"/>
    </row>
    <row r="443">
      <c r="B443" s="40" t="n"/>
      <c r="C443" s="40" t="n"/>
    </row>
    <row r="444">
      <c r="B444" s="40" t="n"/>
      <c r="C444" s="40" t="n"/>
    </row>
    <row r="445">
      <c r="B445" s="40" t="n"/>
      <c r="C445" s="40" t="n"/>
    </row>
    <row r="446">
      <c r="B446" s="40" t="n"/>
      <c r="C446" s="40" t="n"/>
    </row>
    <row r="447">
      <c r="B447" s="40" t="n"/>
      <c r="C447" s="40" t="n"/>
    </row>
    <row r="448">
      <c r="B448" s="40" t="n"/>
      <c r="C448" s="40" t="n"/>
    </row>
    <row r="449">
      <c r="B449" s="40" t="n"/>
      <c r="C449" s="40" t="n"/>
    </row>
    <row r="450">
      <c r="B450" s="40" t="n"/>
      <c r="C450" s="40" t="n"/>
    </row>
    <row r="451">
      <c r="B451" s="40" t="n"/>
      <c r="C451" s="40" t="n"/>
    </row>
    <row r="452">
      <c r="B452" s="40" t="n"/>
      <c r="C452" s="40" t="n"/>
    </row>
    <row r="453">
      <c r="B453" s="40" t="n"/>
      <c r="C453" s="40" t="n"/>
    </row>
    <row r="454">
      <c r="B454" s="40" t="n"/>
      <c r="C454" s="40" t="n"/>
    </row>
    <row r="455">
      <c r="B455" s="40" t="n"/>
      <c r="C455" s="40" t="n"/>
    </row>
    <row r="456">
      <c r="B456" s="40" t="n"/>
      <c r="C456" s="40" t="n"/>
    </row>
    <row r="457">
      <c r="B457" s="40" t="n"/>
      <c r="C457" s="40" t="n"/>
    </row>
    <row r="458">
      <c r="B458" s="40" t="n"/>
      <c r="C458" s="40" t="n"/>
    </row>
    <row r="459">
      <c r="B459" s="40" t="n"/>
      <c r="C459" s="40" t="n"/>
    </row>
    <row r="460">
      <c r="B460" s="40" t="n"/>
      <c r="C460" s="40" t="n"/>
    </row>
    <row r="461">
      <c r="B461" s="40" t="n"/>
      <c r="C461" s="40" t="n"/>
    </row>
    <row r="462">
      <c r="B462" s="40" t="n"/>
      <c r="C462" s="40" t="n"/>
    </row>
    <row r="463">
      <c r="B463" s="40" t="n"/>
      <c r="C463" s="40" t="n"/>
    </row>
    <row r="464">
      <c r="B464" s="40" t="n"/>
      <c r="C464" s="40" t="n"/>
    </row>
    <row r="465">
      <c r="B465" s="40" t="n"/>
      <c r="C465" s="40" t="n"/>
    </row>
    <row r="466">
      <c r="B466" s="40" t="n"/>
      <c r="C466" s="40" t="n"/>
    </row>
    <row r="467">
      <c r="B467" s="40" t="n"/>
      <c r="C467" s="40" t="n"/>
    </row>
    <row r="468">
      <c r="B468" s="40" t="n"/>
      <c r="C468" s="40" t="n"/>
    </row>
    <row r="469">
      <c r="B469" s="40" t="n"/>
      <c r="C469" s="40" t="n"/>
    </row>
    <row r="470">
      <c r="B470" s="40" t="n"/>
      <c r="C470" s="40" t="n"/>
    </row>
    <row r="471">
      <c r="B471" s="40" t="n"/>
      <c r="C471" s="40" t="n"/>
    </row>
    <row r="472">
      <c r="B472" s="40" t="n"/>
      <c r="C472" s="40" t="n"/>
    </row>
    <row r="473">
      <c r="B473" s="40" t="n"/>
      <c r="C473" s="40" t="n"/>
    </row>
    <row r="474">
      <c r="B474" s="40" t="n"/>
      <c r="C474" s="40" t="n"/>
    </row>
    <row r="475">
      <c r="B475" s="40" t="n"/>
      <c r="C475" s="40" t="n"/>
    </row>
    <row r="476">
      <c r="B476" s="40" t="n"/>
      <c r="C476" s="40" t="n"/>
    </row>
    <row r="477">
      <c r="B477" s="40" t="n"/>
      <c r="C477" s="40" t="n"/>
    </row>
    <row r="478">
      <c r="B478" s="40" t="n"/>
      <c r="C478" s="40" t="n"/>
    </row>
    <row r="479">
      <c r="B479" s="40" t="n"/>
      <c r="C479" s="40" t="n"/>
    </row>
    <row r="480">
      <c r="B480" s="40" t="n"/>
      <c r="C480" s="40" t="n"/>
    </row>
    <row r="481">
      <c r="B481" s="40" t="n"/>
      <c r="C481" s="40" t="n"/>
    </row>
    <row r="482">
      <c r="B482" s="40" t="n"/>
      <c r="C482" s="40" t="n"/>
    </row>
    <row r="483">
      <c r="B483" s="40" t="n"/>
      <c r="C483" s="40" t="n"/>
    </row>
    <row r="484">
      <c r="B484" s="40" t="n"/>
      <c r="C484" s="40" t="n"/>
    </row>
    <row r="485">
      <c r="B485" s="40" t="n"/>
      <c r="C485" s="40" t="n"/>
    </row>
    <row r="486">
      <c r="B486" s="40" t="n"/>
      <c r="C486" s="40" t="n"/>
    </row>
    <row r="487">
      <c r="B487" s="40" t="n"/>
      <c r="C487" s="40" t="n"/>
    </row>
    <row r="488">
      <c r="B488" s="40" t="n"/>
      <c r="C488" s="40" t="n"/>
    </row>
    <row r="489">
      <c r="B489" s="40" t="n"/>
      <c r="C489" s="40" t="n"/>
    </row>
    <row r="490">
      <c r="B490" s="40" t="n"/>
      <c r="C490" s="40" t="n"/>
    </row>
    <row r="491">
      <c r="B491" s="40" t="n"/>
      <c r="C491" s="40" t="n"/>
    </row>
    <row r="492">
      <c r="B492" s="40" t="n"/>
      <c r="C492" s="40" t="n"/>
    </row>
    <row r="493">
      <c r="B493" s="40" t="n"/>
      <c r="C493" s="40" t="n"/>
    </row>
    <row r="494">
      <c r="B494" s="40" t="n"/>
      <c r="C494" s="40" t="n"/>
    </row>
    <row r="495">
      <c r="B495" s="40" t="n"/>
      <c r="C495" s="40" t="n"/>
    </row>
    <row r="496">
      <c r="B496" s="40" t="n"/>
      <c r="C496" s="40" t="n"/>
    </row>
    <row r="497">
      <c r="B497" s="40" t="n"/>
      <c r="C497" s="40" t="n"/>
    </row>
    <row r="498">
      <c r="B498" s="40" t="n"/>
      <c r="C498" s="40" t="n"/>
    </row>
    <row r="499">
      <c r="B499" s="40" t="n"/>
      <c r="C499" s="40" t="n"/>
    </row>
    <row r="500">
      <c r="B500" s="40" t="n"/>
      <c r="C500" s="40" t="n"/>
    </row>
    <row r="501">
      <c r="B501" s="40" t="n"/>
      <c r="C501" s="40" t="n"/>
    </row>
    <row r="502">
      <c r="B502" s="40" t="n"/>
      <c r="C502" s="40" t="n"/>
    </row>
    <row r="503">
      <c r="B503" s="40" t="n"/>
      <c r="C503" s="40" t="n"/>
    </row>
    <row r="504">
      <c r="B504" s="40" t="n"/>
      <c r="C504" s="40" t="n"/>
    </row>
    <row r="505">
      <c r="B505" s="40" t="n"/>
      <c r="C505" s="40" t="n"/>
    </row>
    <row r="506">
      <c r="B506" s="40" t="n"/>
      <c r="C506" s="40" t="n"/>
    </row>
    <row r="507">
      <c r="B507" s="40" t="n"/>
      <c r="C507" s="40" t="n"/>
    </row>
    <row r="508">
      <c r="B508" s="40" t="n"/>
      <c r="C508" s="40" t="n"/>
    </row>
    <row r="509">
      <c r="B509" s="40" t="n"/>
      <c r="C509" s="40" t="n"/>
    </row>
    <row r="510">
      <c r="B510" s="40" t="n"/>
      <c r="C510" s="40" t="n"/>
    </row>
    <row r="511">
      <c r="B511" s="40" t="n"/>
      <c r="C511" s="40" t="n"/>
    </row>
    <row r="512">
      <c r="B512" s="40" t="n"/>
      <c r="C512" s="40" t="n"/>
    </row>
    <row r="513">
      <c r="B513" s="40" t="n"/>
      <c r="C513" s="40" t="n"/>
    </row>
    <row r="514">
      <c r="B514" s="40" t="n"/>
      <c r="C514" s="40" t="n"/>
    </row>
    <row r="515">
      <c r="B515" s="40" t="n"/>
      <c r="C515" s="40" t="n"/>
    </row>
    <row r="516">
      <c r="B516" s="40" t="n"/>
      <c r="C516" s="40" t="n"/>
    </row>
    <row r="517">
      <c r="B517" s="40" t="n"/>
      <c r="C517" s="40" t="n"/>
    </row>
    <row r="518">
      <c r="B518" s="40" t="n"/>
      <c r="C518" s="40" t="n"/>
    </row>
    <row r="519">
      <c r="B519" s="40" t="n"/>
      <c r="C519" s="40" t="n"/>
    </row>
    <row r="520">
      <c r="B520" s="40" t="n"/>
      <c r="C520" s="40" t="n"/>
    </row>
    <row r="521">
      <c r="B521" s="40" t="n"/>
      <c r="C521" s="40" t="n"/>
    </row>
    <row r="522">
      <c r="B522" s="40" t="n"/>
      <c r="C522" s="40" t="n"/>
    </row>
    <row r="523">
      <c r="B523" s="40" t="n"/>
      <c r="C523" s="40" t="n"/>
    </row>
    <row r="524">
      <c r="B524" s="40" t="n"/>
      <c r="C524" s="40" t="n"/>
    </row>
    <row r="525">
      <c r="B525" s="40" t="n"/>
      <c r="C525" s="40" t="n"/>
    </row>
    <row r="526">
      <c r="B526" s="40" t="n"/>
      <c r="C526" s="40" t="n"/>
    </row>
    <row r="527">
      <c r="B527" s="40" t="n"/>
      <c r="C527" s="40" t="n"/>
    </row>
    <row r="528">
      <c r="B528" s="40" t="n"/>
      <c r="C528" s="40" t="n"/>
    </row>
    <row r="529">
      <c r="B529" s="40" t="n"/>
      <c r="C529" s="40" t="n"/>
    </row>
    <row r="530">
      <c r="B530" s="40" t="n"/>
      <c r="C530" s="40" t="n"/>
    </row>
    <row r="531">
      <c r="B531" s="40" t="n"/>
      <c r="C531" s="40" t="n"/>
    </row>
    <row r="532">
      <c r="B532" s="40" t="n"/>
      <c r="C532" s="40" t="n"/>
    </row>
    <row r="533">
      <c r="B533" s="40" t="n"/>
      <c r="C533" s="40" t="n"/>
    </row>
    <row r="534">
      <c r="B534" s="40" t="n"/>
      <c r="C534" s="40" t="n"/>
    </row>
    <row r="535">
      <c r="B535" s="40" t="n"/>
      <c r="C535" s="40" t="n"/>
    </row>
    <row r="536">
      <c r="B536" s="40" t="n"/>
      <c r="C536" s="40" t="n"/>
    </row>
    <row r="537">
      <c r="B537" s="40" t="n"/>
      <c r="C537" s="40" t="n"/>
    </row>
    <row r="538">
      <c r="B538" s="40" t="n"/>
      <c r="C538" s="40" t="n"/>
    </row>
    <row r="539">
      <c r="B539" s="40" t="n"/>
      <c r="C539" s="40" t="n"/>
    </row>
    <row r="540">
      <c r="B540" s="40" t="n"/>
      <c r="C540" s="40" t="n"/>
    </row>
    <row r="541">
      <c r="B541" s="40" t="n"/>
      <c r="C541" s="40" t="n"/>
    </row>
    <row r="542">
      <c r="B542" s="40" t="n"/>
      <c r="C542" s="40" t="n"/>
    </row>
    <row r="543">
      <c r="B543" s="40" t="n"/>
      <c r="C543" s="40" t="n"/>
    </row>
    <row r="544">
      <c r="B544" s="40" t="n"/>
      <c r="C544" s="40" t="n"/>
    </row>
    <row r="545">
      <c r="B545" s="40" t="n"/>
      <c r="C545" s="40" t="n"/>
    </row>
    <row r="546">
      <c r="B546" s="40" t="n"/>
      <c r="C546" s="40" t="n"/>
    </row>
    <row r="547">
      <c r="B547" s="40" t="n"/>
      <c r="C547" s="40" t="n"/>
    </row>
    <row r="548">
      <c r="B548" s="40" t="n"/>
      <c r="C548" s="40" t="n"/>
    </row>
    <row r="549">
      <c r="B549" s="40" t="n"/>
      <c r="C549" s="40" t="n"/>
    </row>
    <row r="550">
      <c r="B550" s="40" t="n"/>
      <c r="C550" s="40" t="n"/>
    </row>
    <row r="551">
      <c r="B551" s="40" t="n"/>
      <c r="C551" s="40" t="n"/>
    </row>
    <row r="552">
      <c r="B552" s="40" t="n"/>
      <c r="C552" s="40" t="n"/>
    </row>
    <row r="553">
      <c r="B553" s="40" t="n"/>
      <c r="C553" s="40" t="n"/>
    </row>
    <row r="554">
      <c r="B554" s="40" t="n"/>
      <c r="C554" s="40" t="n"/>
    </row>
    <row r="555">
      <c r="B555" s="40" t="n"/>
      <c r="C555" s="40" t="n"/>
    </row>
    <row r="556">
      <c r="B556" s="40" t="n"/>
      <c r="C556" s="40" t="n"/>
    </row>
    <row r="557">
      <c r="B557" s="40" t="n"/>
      <c r="C557" s="40" t="n"/>
    </row>
    <row r="558">
      <c r="B558" s="40" t="n"/>
      <c r="C558" s="40" t="n"/>
    </row>
    <row r="559">
      <c r="B559" s="40" t="n"/>
      <c r="C559" s="40" t="n"/>
    </row>
    <row r="560">
      <c r="B560" s="40" t="n"/>
      <c r="C560" s="40" t="n"/>
    </row>
    <row r="561">
      <c r="B561" s="40" t="n"/>
      <c r="C561" s="40" t="n"/>
    </row>
    <row r="562">
      <c r="B562" s="40" t="n"/>
      <c r="C562" s="40" t="n"/>
    </row>
    <row r="563">
      <c r="B563" s="40" t="n"/>
      <c r="C563" s="40" t="n"/>
    </row>
    <row r="564">
      <c r="B564" s="40" t="n"/>
      <c r="C564" s="40" t="n"/>
    </row>
    <row r="565">
      <c r="B565" s="40" t="n"/>
      <c r="C565" s="40" t="n"/>
    </row>
    <row r="566">
      <c r="B566" s="40" t="n"/>
      <c r="C566" s="40" t="n"/>
    </row>
    <row r="567">
      <c r="B567" s="40" t="n"/>
      <c r="C567" s="40" t="n"/>
    </row>
    <row r="568">
      <c r="B568" s="40" t="n"/>
      <c r="C568" s="40" t="n"/>
    </row>
    <row r="569">
      <c r="B569" s="40" t="n"/>
      <c r="C569" s="40" t="n"/>
    </row>
    <row r="570">
      <c r="B570" s="40" t="n"/>
      <c r="C570" s="40" t="n"/>
    </row>
    <row r="571">
      <c r="B571" s="40" t="n"/>
      <c r="C571" s="40" t="n"/>
    </row>
    <row r="572">
      <c r="B572" s="40" t="n"/>
      <c r="C572" s="40" t="n"/>
    </row>
    <row r="573">
      <c r="B573" s="40" t="n"/>
      <c r="C573" s="40" t="n"/>
    </row>
    <row r="574">
      <c r="B574" s="40" t="n"/>
      <c r="C574" s="40" t="n"/>
    </row>
    <row r="575">
      <c r="B575" s="40" t="n"/>
      <c r="C575" s="40" t="n"/>
    </row>
    <row r="576">
      <c r="B576" s="40" t="n"/>
      <c r="C576" s="40" t="n"/>
    </row>
    <row r="577">
      <c r="B577" s="40" t="n"/>
      <c r="C577" s="40" t="n"/>
    </row>
    <row r="578">
      <c r="B578" s="40" t="n"/>
      <c r="C578" s="40" t="n"/>
    </row>
    <row r="579">
      <c r="B579" s="40" t="n"/>
      <c r="C579" s="40" t="n"/>
    </row>
    <row r="580">
      <c r="B580" s="40" t="n"/>
      <c r="C580" s="40" t="n"/>
    </row>
    <row r="581">
      <c r="B581" s="40" t="n"/>
      <c r="C581" s="40" t="n"/>
    </row>
    <row r="582">
      <c r="B582" s="40" t="n"/>
      <c r="C582" s="40" t="n"/>
    </row>
    <row r="583">
      <c r="B583" s="40" t="n"/>
      <c r="C583" s="40" t="n"/>
    </row>
    <row r="584">
      <c r="B584" s="40" t="n"/>
      <c r="C584" s="40" t="n"/>
    </row>
    <row r="585">
      <c r="B585" s="40" t="n"/>
      <c r="C585" s="40" t="n"/>
    </row>
    <row r="586">
      <c r="B586" s="40" t="n"/>
      <c r="C586" s="40" t="n"/>
    </row>
    <row r="587">
      <c r="B587" s="40" t="n"/>
      <c r="C587" s="40" t="n"/>
    </row>
    <row r="588">
      <c r="B588" s="40" t="n"/>
      <c r="C588" s="40" t="n"/>
    </row>
    <row r="589">
      <c r="B589" s="40" t="n"/>
      <c r="C589" s="40" t="n"/>
    </row>
    <row r="590">
      <c r="B590" s="40" t="n"/>
      <c r="C590" s="40" t="n"/>
    </row>
    <row r="591">
      <c r="B591" s="40" t="n"/>
      <c r="C591" s="40" t="n"/>
    </row>
    <row r="592">
      <c r="B592" s="40" t="n"/>
      <c r="C592" s="40" t="n"/>
    </row>
    <row r="593">
      <c r="B593" s="40" t="n"/>
      <c r="C593" s="40" t="n"/>
    </row>
    <row r="594">
      <c r="B594" s="40" t="n"/>
      <c r="C594" s="40" t="n"/>
    </row>
    <row r="595">
      <c r="B595" s="40" t="n"/>
      <c r="C595" s="40" t="n"/>
    </row>
    <row r="596">
      <c r="B596" s="40" t="n"/>
      <c r="C596" s="40" t="n"/>
    </row>
    <row r="597">
      <c r="B597" s="40" t="n"/>
      <c r="C597" s="40" t="n"/>
    </row>
    <row r="598">
      <c r="B598" s="40" t="n"/>
      <c r="C598" s="40" t="n"/>
    </row>
    <row r="599">
      <c r="B599" s="40" t="n"/>
      <c r="C599" s="40" t="n"/>
    </row>
    <row r="600">
      <c r="B600" s="40" t="n"/>
      <c r="C600" s="40" t="n"/>
    </row>
    <row r="601">
      <c r="B601" s="40" t="n"/>
      <c r="C601" s="40" t="n"/>
    </row>
    <row r="602">
      <c r="B602" s="40" t="n"/>
      <c r="C602" s="40" t="n"/>
    </row>
    <row r="603">
      <c r="B603" s="40" t="n"/>
      <c r="C603" s="40" t="n"/>
    </row>
    <row r="604">
      <c r="B604" s="40" t="n"/>
      <c r="C604" s="40" t="n"/>
    </row>
    <row r="605">
      <c r="B605" s="40" t="n"/>
      <c r="C605" s="40" t="n"/>
    </row>
    <row r="606">
      <c r="B606" s="40" t="n"/>
      <c r="C606" s="40" t="n"/>
    </row>
    <row r="607">
      <c r="B607" s="40" t="n"/>
      <c r="C607" s="40" t="n"/>
    </row>
    <row r="608">
      <c r="B608" s="40" t="n"/>
      <c r="C608" s="40" t="n"/>
    </row>
    <row r="609">
      <c r="B609" s="40" t="n"/>
      <c r="C609" s="40" t="n"/>
    </row>
    <row r="610">
      <c r="B610" s="40" t="n"/>
      <c r="C610" s="40" t="n"/>
    </row>
    <row r="611">
      <c r="B611" s="40" t="n"/>
      <c r="C611" s="40" t="n"/>
    </row>
    <row r="612">
      <c r="B612" s="40" t="n"/>
      <c r="C612" s="40" t="n"/>
    </row>
    <row r="613">
      <c r="B613" s="40" t="n"/>
      <c r="C613" s="40" t="n"/>
    </row>
    <row r="614">
      <c r="B614" s="40" t="n"/>
      <c r="C614" s="40" t="n"/>
    </row>
    <row r="615">
      <c r="B615" s="40" t="n"/>
      <c r="C615" s="40" t="n"/>
    </row>
    <row r="616">
      <c r="B616" s="40" t="n"/>
      <c r="C616" s="40" t="n"/>
    </row>
    <row r="617">
      <c r="B617" s="40" t="n"/>
      <c r="C617" s="40" t="n"/>
    </row>
    <row r="618">
      <c r="B618" s="40" t="n"/>
      <c r="C618" s="40" t="n"/>
    </row>
    <row r="619">
      <c r="B619" s="40" t="n"/>
      <c r="C619" s="40" t="n"/>
    </row>
    <row r="620">
      <c r="B620" s="40" t="n"/>
      <c r="C620" s="40" t="n"/>
    </row>
    <row r="621">
      <c r="B621" s="40" t="n"/>
      <c r="C621" s="40" t="n"/>
    </row>
    <row r="622">
      <c r="B622" s="40" t="n"/>
      <c r="C622" s="40" t="n"/>
    </row>
    <row r="623">
      <c r="B623" s="40" t="n"/>
      <c r="C623" s="40" t="n"/>
    </row>
    <row r="624">
      <c r="B624" s="40" t="n"/>
      <c r="C624" s="40" t="n"/>
    </row>
    <row r="625">
      <c r="B625" s="40" t="n"/>
      <c r="C625" s="40" t="n"/>
    </row>
    <row r="626">
      <c r="B626" s="40" t="n"/>
      <c r="C626" s="40" t="n"/>
    </row>
    <row r="627">
      <c r="B627" s="40" t="n"/>
      <c r="C627" s="40" t="n"/>
    </row>
    <row r="628">
      <c r="B628" s="40" t="n"/>
      <c r="C628" s="40" t="n"/>
    </row>
    <row r="629">
      <c r="B629" s="40" t="n"/>
      <c r="C629" s="40" t="n"/>
    </row>
    <row r="630">
      <c r="B630" s="40" t="n"/>
      <c r="C630" s="40" t="n"/>
    </row>
    <row r="631">
      <c r="B631" s="40" t="n"/>
      <c r="C631" s="40" t="n"/>
    </row>
    <row r="632">
      <c r="B632" s="40" t="n"/>
      <c r="C632" s="40" t="n"/>
    </row>
    <row r="633">
      <c r="B633" s="40" t="n"/>
      <c r="C633" s="40" t="n"/>
    </row>
    <row r="634">
      <c r="B634" s="40" t="n"/>
      <c r="C634" s="40" t="n"/>
    </row>
    <row r="635">
      <c r="B635" s="40" t="n"/>
      <c r="C635" s="40" t="n"/>
    </row>
    <row r="636">
      <c r="B636" s="40" t="n"/>
      <c r="C636" s="40" t="n"/>
    </row>
    <row r="637">
      <c r="B637" s="40" t="n"/>
      <c r="C637" s="40" t="n"/>
    </row>
    <row r="638">
      <c r="B638" s="40" t="n"/>
      <c r="C638" s="40" t="n"/>
    </row>
    <row r="639">
      <c r="B639" s="40" t="n"/>
      <c r="C639" s="40" t="n"/>
    </row>
    <row r="640">
      <c r="B640" s="40" t="n"/>
      <c r="C640" s="40" t="n"/>
    </row>
    <row r="641">
      <c r="B641" s="40" t="n"/>
      <c r="C641" s="40" t="n"/>
    </row>
    <row r="642">
      <c r="B642" s="40" t="n"/>
      <c r="C642" s="40" t="n"/>
    </row>
    <row r="643">
      <c r="B643" s="40" t="n"/>
      <c r="C643" s="40" t="n"/>
    </row>
    <row r="644">
      <c r="B644" s="40" t="n"/>
      <c r="C644" s="40" t="n"/>
    </row>
    <row r="645">
      <c r="B645" s="40" t="n"/>
      <c r="C645" s="40" t="n"/>
    </row>
    <row r="646">
      <c r="B646" s="40" t="n"/>
      <c r="C646" s="40" t="n"/>
    </row>
    <row r="647">
      <c r="B647" s="40" t="n"/>
      <c r="C647" s="40" t="n"/>
    </row>
    <row r="648">
      <c r="B648" s="40" t="n"/>
      <c r="C648" s="40" t="n"/>
    </row>
    <row r="649">
      <c r="B649" s="40" t="n"/>
      <c r="C649" s="40" t="n"/>
    </row>
    <row r="650">
      <c r="B650" s="40" t="n"/>
      <c r="C650" s="40" t="n"/>
    </row>
    <row r="651">
      <c r="B651" s="40" t="n"/>
      <c r="C651" s="40" t="n"/>
    </row>
    <row r="652">
      <c r="B652" s="40" t="n"/>
      <c r="C652" s="40" t="n"/>
    </row>
    <row r="653">
      <c r="B653" s="40" t="n"/>
      <c r="C653" s="40" t="n"/>
    </row>
    <row r="654">
      <c r="B654" s="40" t="n"/>
      <c r="C654" s="40" t="n"/>
    </row>
    <row r="655">
      <c r="B655" s="40" t="n"/>
      <c r="C655" s="40" t="n"/>
    </row>
    <row r="656">
      <c r="B656" s="40" t="n"/>
      <c r="C656" s="40" t="n"/>
    </row>
    <row r="657">
      <c r="B657" s="40" t="n"/>
      <c r="C657" s="40" t="n"/>
    </row>
    <row r="658">
      <c r="B658" s="40" t="n"/>
      <c r="C658" s="40" t="n"/>
    </row>
    <row r="659">
      <c r="B659" s="40" t="n"/>
      <c r="C659" s="40" t="n"/>
    </row>
    <row r="660">
      <c r="B660" s="40" t="n"/>
      <c r="C660" s="40" t="n"/>
    </row>
    <row r="661">
      <c r="B661" s="40" t="n"/>
      <c r="C661" s="40" t="n"/>
    </row>
    <row r="662">
      <c r="B662" s="40" t="n"/>
      <c r="C662" s="40" t="n"/>
    </row>
    <row r="663">
      <c r="B663" s="40" t="n"/>
      <c r="C663" s="40" t="n"/>
    </row>
    <row r="664">
      <c r="B664" s="40" t="n"/>
      <c r="C664" s="40" t="n"/>
    </row>
    <row r="665">
      <c r="B665" s="40" t="n"/>
      <c r="C665" s="40" t="n"/>
    </row>
    <row r="666">
      <c r="B666" s="40" t="n"/>
      <c r="C666" s="40" t="n"/>
    </row>
    <row r="667">
      <c r="B667" s="40" t="n"/>
      <c r="C667" s="40" t="n"/>
    </row>
    <row r="668">
      <c r="B668" s="40" t="n"/>
      <c r="C668" s="40" t="n"/>
    </row>
    <row r="669">
      <c r="B669" s="40" t="n"/>
      <c r="C669" s="40" t="n"/>
    </row>
    <row r="670">
      <c r="B670" s="40" t="n"/>
      <c r="C670" s="40" t="n"/>
    </row>
    <row r="671">
      <c r="B671" s="40" t="n"/>
      <c r="C671" s="40" t="n"/>
    </row>
    <row r="672">
      <c r="B672" s="40" t="n"/>
      <c r="C672" s="40" t="n"/>
    </row>
    <row r="673">
      <c r="B673" s="40" t="n"/>
      <c r="C673" s="40" t="n"/>
    </row>
    <row r="674">
      <c r="B674" s="40" t="n"/>
      <c r="C674" s="40" t="n"/>
    </row>
    <row r="675">
      <c r="B675" s="40" t="n"/>
      <c r="C675" s="40" t="n"/>
    </row>
    <row r="676">
      <c r="B676" s="40" t="n"/>
      <c r="C676" s="40" t="n"/>
    </row>
    <row r="677">
      <c r="B677" s="40" t="n"/>
      <c r="C677" s="40" t="n"/>
    </row>
    <row r="678">
      <c r="B678" s="40" t="n"/>
      <c r="C678" s="40" t="n"/>
    </row>
    <row r="679">
      <c r="B679" s="40" t="n"/>
      <c r="C679" s="40" t="n"/>
    </row>
    <row r="680">
      <c r="B680" s="40" t="n"/>
      <c r="C680" s="40" t="n"/>
    </row>
    <row r="681">
      <c r="B681" s="40" t="n"/>
      <c r="C681" s="40" t="n"/>
    </row>
    <row r="682">
      <c r="B682" s="40" t="n"/>
      <c r="C682" s="40" t="n"/>
    </row>
    <row r="683">
      <c r="B683" s="40" t="n"/>
      <c r="C683" s="40" t="n"/>
    </row>
    <row r="684">
      <c r="B684" s="40" t="n"/>
      <c r="C684" s="40" t="n"/>
    </row>
    <row r="685">
      <c r="B685" s="40" t="n"/>
      <c r="C685" s="40" t="n"/>
    </row>
    <row r="686">
      <c r="B686" s="40" t="n"/>
      <c r="C686" s="40" t="n"/>
    </row>
    <row r="687">
      <c r="B687" s="40" t="n"/>
      <c r="C687" s="40" t="n"/>
    </row>
    <row r="688">
      <c r="B688" s="40" t="n"/>
      <c r="C688" s="40" t="n"/>
    </row>
    <row r="689">
      <c r="B689" s="40" t="n"/>
      <c r="C689" s="40" t="n"/>
    </row>
    <row r="690">
      <c r="B690" s="40" t="n"/>
      <c r="C690" s="40" t="n"/>
    </row>
    <row r="691">
      <c r="B691" s="40" t="n"/>
      <c r="C691" s="40" t="n"/>
    </row>
    <row r="692">
      <c r="B692" s="40" t="n"/>
      <c r="C692" s="40" t="n"/>
    </row>
    <row r="693">
      <c r="B693" s="40" t="n"/>
      <c r="C693" s="40" t="n"/>
    </row>
    <row r="694">
      <c r="B694" s="40" t="n"/>
      <c r="C694" s="40" t="n"/>
    </row>
    <row r="695">
      <c r="B695" s="40" t="n"/>
      <c r="C695" s="40" t="n"/>
    </row>
    <row r="696">
      <c r="B696" s="40" t="n"/>
      <c r="C696" s="40" t="n"/>
    </row>
    <row r="697">
      <c r="B697" s="40" t="n"/>
      <c r="C697" s="40" t="n"/>
    </row>
    <row r="698">
      <c r="B698" s="40" t="n"/>
      <c r="C698" s="40" t="n"/>
    </row>
    <row r="699">
      <c r="B699" s="40" t="n"/>
      <c r="C699" s="40" t="n"/>
    </row>
    <row r="700">
      <c r="B700" s="40" t="n"/>
      <c r="C700" s="40" t="n"/>
    </row>
    <row r="701">
      <c r="B701" s="40" t="n"/>
      <c r="C701" s="40" t="n"/>
    </row>
    <row r="702">
      <c r="B702" s="40" t="n"/>
      <c r="C702" s="40" t="n"/>
    </row>
    <row r="703">
      <c r="B703" s="40" t="n"/>
      <c r="C703" s="40" t="n"/>
    </row>
    <row r="704">
      <c r="B704" s="40" t="n"/>
      <c r="C704" s="40" t="n"/>
    </row>
    <row r="705">
      <c r="B705" s="40" t="n"/>
      <c r="C705" s="40" t="n"/>
    </row>
    <row r="706">
      <c r="B706" s="40" t="n"/>
      <c r="C706" s="40" t="n"/>
    </row>
    <row r="707">
      <c r="B707" s="40" t="n"/>
      <c r="C707" s="40" t="n"/>
    </row>
    <row r="708">
      <c r="B708" s="40" t="n"/>
      <c r="C708" s="40" t="n"/>
    </row>
    <row r="709">
      <c r="B709" s="40" t="n"/>
      <c r="C709" s="40" t="n"/>
    </row>
    <row r="710">
      <c r="B710" s="40" t="n"/>
      <c r="C710" s="40" t="n"/>
    </row>
    <row r="711">
      <c r="B711" s="40" t="n"/>
      <c r="C711" s="40" t="n"/>
    </row>
    <row r="712">
      <c r="B712" s="40" t="n"/>
      <c r="C712" s="40" t="n"/>
    </row>
    <row r="713">
      <c r="B713" s="40" t="n"/>
      <c r="C713" s="40" t="n"/>
    </row>
    <row r="714">
      <c r="B714" s="40" t="n"/>
      <c r="C714" s="40" t="n"/>
    </row>
    <row r="715">
      <c r="B715" s="40" t="n"/>
      <c r="C715" s="40" t="n"/>
    </row>
    <row r="716">
      <c r="B716" s="40" t="n"/>
      <c r="C716" s="40" t="n"/>
    </row>
    <row r="717">
      <c r="B717" s="40" t="n"/>
      <c r="C717" s="40" t="n"/>
    </row>
    <row r="718">
      <c r="B718" s="40" t="n"/>
      <c r="C718" s="40" t="n"/>
    </row>
    <row r="719">
      <c r="B719" s="40" t="n"/>
      <c r="C719" s="40" t="n"/>
    </row>
    <row r="720">
      <c r="B720" s="40" t="n"/>
      <c r="C720" s="40" t="n"/>
    </row>
    <row r="721">
      <c r="B721" s="40" t="n"/>
      <c r="C721" s="40" t="n"/>
    </row>
    <row r="722">
      <c r="B722" s="40" t="n"/>
      <c r="C722" s="40" t="n"/>
    </row>
    <row r="723">
      <c r="B723" s="40" t="n"/>
      <c r="C723" s="40" t="n"/>
    </row>
    <row r="724">
      <c r="B724" s="40" t="n"/>
      <c r="C724" s="40" t="n"/>
    </row>
    <row r="725">
      <c r="B725" s="40" t="n"/>
      <c r="C725" s="40" t="n"/>
    </row>
    <row r="726">
      <c r="B726" s="40" t="n"/>
      <c r="C726" s="40" t="n"/>
    </row>
    <row r="727">
      <c r="B727" s="40" t="n"/>
      <c r="C727" s="40" t="n"/>
    </row>
    <row r="728">
      <c r="B728" s="40" t="n"/>
      <c r="C728" s="40" t="n"/>
    </row>
    <row r="729">
      <c r="B729" s="40" t="n"/>
      <c r="C729" s="40" t="n"/>
    </row>
    <row r="730">
      <c r="B730" s="40" t="n"/>
      <c r="C730" s="40" t="n"/>
    </row>
    <row r="731">
      <c r="B731" s="40" t="n"/>
      <c r="C731" s="40" t="n"/>
    </row>
    <row r="732">
      <c r="B732" s="40" t="n"/>
      <c r="C732" s="40" t="n"/>
    </row>
    <row r="733">
      <c r="B733" s="40" t="n"/>
      <c r="C733" s="40" t="n"/>
    </row>
    <row r="734">
      <c r="B734" s="40" t="n"/>
      <c r="C734" s="40" t="n"/>
    </row>
    <row r="735">
      <c r="B735" s="40" t="n"/>
      <c r="C735" s="40" t="n"/>
    </row>
    <row r="736">
      <c r="B736" s="40" t="n"/>
      <c r="C736" s="40" t="n"/>
    </row>
    <row r="737">
      <c r="B737" s="40" t="n"/>
      <c r="C737" s="40" t="n"/>
    </row>
    <row r="738">
      <c r="B738" s="40" t="n"/>
      <c r="C738" s="40" t="n"/>
    </row>
    <row r="739">
      <c r="B739" s="40" t="n"/>
      <c r="C739" s="40" t="n"/>
    </row>
    <row r="740">
      <c r="B740" s="40" t="n"/>
      <c r="C740" s="40" t="n"/>
    </row>
    <row r="741">
      <c r="B741" s="40" t="n"/>
      <c r="C741" s="40" t="n"/>
    </row>
    <row r="742">
      <c r="B742" s="40" t="n"/>
      <c r="C742" s="40" t="n"/>
    </row>
    <row r="743">
      <c r="B743" s="40" t="n"/>
      <c r="C743" s="40" t="n"/>
    </row>
    <row r="744">
      <c r="B744" s="40" t="n"/>
      <c r="C744" s="40" t="n"/>
    </row>
    <row r="745">
      <c r="B745" s="40" t="n"/>
      <c r="C745" s="40" t="n"/>
    </row>
    <row r="746">
      <c r="B746" s="40" t="n"/>
      <c r="C746" s="40" t="n"/>
    </row>
    <row r="747">
      <c r="B747" s="40" t="n"/>
      <c r="C747" s="40" t="n"/>
    </row>
    <row r="748">
      <c r="B748" s="40" t="n"/>
      <c r="C748" s="40" t="n"/>
    </row>
    <row r="749">
      <c r="B749" s="40" t="n"/>
      <c r="C749" s="40" t="n"/>
    </row>
    <row r="750">
      <c r="B750" s="40" t="n"/>
      <c r="C750" s="40" t="n"/>
    </row>
    <row r="751">
      <c r="B751" s="40" t="n"/>
      <c r="C751" s="40" t="n"/>
    </row>
    <row r="752">
      <c r="B752" s="40" t="n"/>
      <c r="C752" s="40" t="n"/>
    </row>
    <row r="753">
      <c r="B753" s="40" t="n"/>
      <c r="C753" s="40" t="n"/>
    </row>
    <row r="754">
      <c r="B754" s="40" t="n"/>
      <c r="C754" s="40" t="n"/>
    </row>
    <row r="755">
      <c r="B755" s="40" t="n"/>
      <c r="C755" s="40" t="n"/>
    </row>
    <row r="756">
      <c r="B756" s="40" t="n"/>
      <c r="C756" s="40" t="n"/>
    </row>
    <row r="757">
      <c r="B757" s="40" t="n"/>
      <c r="C757" s="40" t="n"/>
    </row>
    <row r="758">
      <c r="B758" s="40" t="n"/>
      <c r="C758" s="40" t="n"/>
    </row>
    <row r="759">
      <c r="B759" s="40" t="n"/>
      <c r="C759" s="40" t="n"/>
    </row>
    <row r="760">
      <c r="B760" s="40" t="n"/>
      <c r="C760" s="40" t="n"/>
    </row>
    <row r="761">
      <c r="B761" s="40" t="n"/>
      <c r="C761" s="40" t="n"/>
    </row>
    <row r="762">
      <c r="B762" s="40" t="n"/>
      <c r="C762" s="40" t="n"/>
    </row>
    <row r="763">
      <c r="B763" s="40" t="n"/>
      <c r="C763" s="40" t="n"/>
    </row>
    <row r="764">
      <c r="B764" s="40" t="n"/>
      <c r="C764" s="40" t="n"/>
    </row>
    <row r="765">
      <c r="B765" s="40" t="n"/>
      <c r="C765" s="40" t="n"/>
    </row>
    <row r="766">
      <c r="B766" s="40" t="n"/>
      <c r="C766" s="40" t="n"/>
    </row>
    <row r="767">
      <c r="B767" s="40" t="n"/>
      <c r="C767" s="40" t="n"/>
    </row>
    <row r="768">
      <c r="B768" s="40" t="n"/>
      <c r="C768" s="40" t="n"/>
    </row>
    <row r="769">
      <c r="B769" s="40" t="n"/>
      <c r="C769" s="40" t="n"/>
    </row>
    <row r="770">
      <c r="B770" s="40" t="n"/>
      <c r="C770" s="40" t="n"/>
    </row>
    <row r="771">
      <c r="B771" s="40" t="n"/>
      <c r="C771" s="40" t="n"/>
    </row>
    <row r="772">
      <c r="B772" s="40" t="n"/>
      <c r="C772" s="40" t="n"/>
    </row>
    <row r="773">
      <c r="B773" s="40" t="n"/>
      <c r="C773" s="40" t="n"/>
    </row>
    <row r="774">
      <c r="B774" s="40" t="n"/>
      <c r="C774" s="40" t="n"/>
    </row>
    <row r="775">
      <c r="B775" s="40" t="n"/>
      <c r="C775" s="40" t="n"/>
    </row>
    <row r="776">
      <c r="B776" s="40" t="n"/>
      <c r="C776" s="40" t="n"/>
    </row>
    <row r="777">
      <c r="B777" s="40" t="n"/>
      <c r="C777" s="40" t="n"/>
    </row>
    <row r="778">
      <c r="B778" s="40" t="n"/>
      <c r="C778" s="40" t="n"/>
    </row>
    <row r="779">
      <c r="B779" s="40" t="n"/>
      <c r="C779" s="40" t="n"/>
    </row>
    <row r="780">
      <c r="B780" s="40" t="n"/>
      <c r="C780" s="40" t="n"/>
    </row>
    <row r="781">
      <c r="B781" s="40" t="n"/>
      <c r="C781" s="40" t="n"/>
    </row>
    <row r="782">
      <c r="B782" s="40" t="n"/>
      <c r="C782" s="40" t="n"/>
    </row>
    <row r="783">
      <c r="B783" s="40" t="n"/>
      <c r="C783" s="40" t="n"/>
    </row>
    <row r="784">
      <c r="B784" s="40" t="n"/>
      <c r="C784" s="40" t="n"/>
    </row>
    <row r="785">
      <c r="B785" s="40" t="n"/>
      <c r="C785" s="40" t="n"/>
    </row>
    <row r="786">
      <c r="B786" s="40" t="n"/>
      <c r="C786" s="40" t="n"/>
    </row>
    <row r="787">
      <c r="B787" s="40" t="n"/>
      <c r="C787" s="40" t="n"/>
    </row>
    <row r="788">
      <c r="B788" s="40" t="n"/>
      <c r="C788" s="40" t="n"/>
    </row>
    <row r="789">
      <c r="B789" s="40" t="n"/>
      <c r="C789" s="40" t="n"/>
    </row>
    <row r="790">
      <c r="B790" s="40" t="n"/>
      <c r="C790" s="40" t="n"/>
    </row>
    <row r="791">
      <c r="B791" s="40" t="n"/>
      <c r="C791" s="40" t="n"/>
    </row>
    <row r="792">
      <c r="B792" s="40" t="n"/>
      <c r="C792" s="40" t="n"/>
    </row>
    <row r="793">
      <c r="B793" s="40" t="n"/>
      <c r="C793" s="40" t="n"/>
    </row>
    <row r="794">
      <c r="B794" s="40" t="n"/>
      <c r="C794" s="40" t="n"/>
    </row>
    <row r="795">
      <c r="B795" s="40" t="n"/>
      <c r="C795" s="40" t="n"/>
    </row>
    <row r="796">
      <c r="B796" s="40" t="n"/>
      <c r="C796" s="40" t="n"/>
    </row>
    <row r="797">
      <c r="B797" s="40" t="n"/>
      <c r="C797" s="40" t="n"/>
    </row>
    <row r="798">
      <c r="B798" s="40" t="n"/>
      <c r="C798" s="40" t="n"/>
    </row>
    <row r="799">
      <c r="B799" s="40" t="n"/>
      <c r="C799" s="40" t="n"/>
    </row>
    <row r="800">
      <c r="B800" s="40" t="n"/>
      <c r="C800" s="40" t="n"/>
    </row>
    <row r="801">
      <c r="B801" s="40" t="n"/>
      <c r="C801" s="40" t="n"/>
    </row>
    <row r="802">
      <c r="B802" s="40" t="n"/>
      <c r="C802" s="40" t="n"/>
    </row>
    <row r="803">
      <c r="B803" s="40" t="n"/>
      <c r="C803" s="40" t="n"/>
    </row>
    <row r="804">
      <c r="B804" s="40" t="n"/>
      <c r="C804" s="40" t="n"/>
    </row>
    <row r="805">
      <c r="B805" s="40" t="n"/>
      <c r="C805" s="40" t="n"/>
    </row>
    <row r="806">
      <c r="B806" s="40" t="n"/>
      <c r="C806" s="40" t="n"/>
    </row>
    <row r="807">
      <c r="B807" s="40" t="n"/>
      <c r="C807" s="40" t="n"/>
    </row>
    <row r="808">
      <c r="B808" s="40" t="n"/>
      <c r="C808" s="40" t="n"/>
    </row>
    <row r="809">
      <c r="B809" s="40" t="n"/>
      <c r="C809" s="40" t="n"/>
    </row>
    <row r="810">
      <c r="B810" s="40" t="n"/>
      <c r="C810" s="40" t="n"/>
    </row>
    <row r="811">
      <c r="B811" s="40" t="n"/>
      <c r="C811" s="40" t="n"/>
    </row>
    <row r="812">
      <c r="B812" s="40" t="n"/>
      <c r="C812" s="40" t="n"/>
    </row>
    <row r="813">
      <c r="B813" s="40" t="n"/>
      <c r="C813" s="40" t="n"/>
    </row>
    <row r="814">
      <c r="B814" s="40" t="n"/>
      <c r="C814" s="40" t="n"/>
    </row>
    <row r="815">
      <c r="B815" s="40" t="n"/>
      <c r="C815" s="40" t="n"/>
    </row>
    <row r="816">
      <c r="B816" s="40" t="n"/>
      <c r="C816" s="40" t="n"/>
    </row>
    <row r="817">
      <c r="B817" s="40" t="n"/>
      <c r="C817" s="40" t="n"/>
    </row>
    <row r="818">
      <c r="B818" s="40" t="n"/>
      <c r="C818" s="40" t="n"/>
    </row>
    <row r="819">
      <c r="B819" s="40" t="n"/>
      <c r="C819" s="40" t="n"/>
    </row>
    <row r="820">
      <c r="B820" s="40" t="n"/>
      <c r="C820" s="40" t="n"/>
    </row>
    <row r="821">
      <c r="B821" s="40" t="n"/>
      <c r="C821" s="40" t="n"/>
    </row>
    <row r="822">
      <c r="B822" s="40" t="n"/>
      <c r="C822" s="40" t="n"/>
    </row>
    <row r="823">
      <c r="B823" s="40" t="n"/>
      <c r="C823" s="40" t="n"/>
    </row>
    <row r="824">
      <c r="B824" s="40" t="n"/>
      <c r="C824" s="40" t="n"/>
    </row>
    <row r="825">
      <c r="B825" s="40" t="n"/>
      <c r="C825" s="40" t="n"/>
    </row>
    <row r="826">
      <c r="B826" s="40" t="n"/>
      <c r="C826" s="40" t="n"/>
    </row>
    <row r="827">
      <c r="B827" s="40" t="n"/>
      <c r="C827" s="40" t="n"/>
    </row>
    <row r="828">
      <c r="B828" s="40" t="n"/>
      <c r="C828" s="40" t="n"/>
    </row>
    <row r="829">
      <c r="B829" s="40" t="n"/>
      <c r="C829" s="40" t="n"/>
    </row>
    <row r="830">
      <c r="B830" s="40" t="n"/>
      <c r="C830" s="40" t="n"/>
    </row>
    <row r="831">
      <c r="B831" s="40" t="n"/>
      <c r="C831" s="40" t="n"/>
    </row>
    <row r="832">
      <c r="B832" s="40" t="n"/>
      <c r="C832" s="40" t="n"/>
    </row>
    <row r="833">
      <c r="B833" s="40" t="n"/>
      <c r="C833" s="40" t="n"/>
    </row>
    <row r="834">
      <c r="B834" s="40" t="n"/>
      <c r="C834" s="40" t="n"/>
    </row>
    <row r="835">
      <c r="B835" s="40" t="n"/>
      <c r="C835" s="40" t="n"/>
    </row>
    <row r="836">
      <c r="B836" s="40" t="n"/>
      <c r="C836" s="40" t="n"/>
    </row>
    <row r="837">
      <c r="B837" s="40" t="n"/>
      <c r="C837" s="40" t="n"/>
    </row>
    <row r="838">
      <c r="B838" s="40" t="n"/>
      <c r="C838" s="40" t="n"/>
    </row>
    <row r="839">
      <c r="B839" s="40" t="n"/>
      <c r="C839" s="40" t="n"/>
    </row>
    <row r="840">
      <c r="B840" s="40" t="n"/>
      <c r="C840" s="40" t="n"/>
    </row>
    <row r="841">
      <c r="B841" s="40" t="n"/>
      <c r="C841" s="40" t="n"/>
    </row>
    <row r="842">
      <c r="B842" s="40" t="n"/>
      <c r="C842" s="40" t="n"/>
    </row>
    <row r="843">
      <c r="B843" s="40" t="n"/>
      <c r="C843" s="40" t="n"/>
    </row>
    <row r="844">
      <c r="B844" s="40" t="n"/>
      <c r="C844" s="40" t="n"/>
    </row>
    <row r="845">
      <c r="B845" s="40" t="n"/>
      <c r="C845" s="40" t="n"/>
    </row>
    <row r="846">
      <c r="B846" s="40" t="n"/>
      <c r="C846" s="40" t="n"/>
    </row>
    <row r="847">
      <c r="B847" s="40" t="n"/>
      <c r="C847" s="40" t="n"/>
    </row>
    <row r="848">
      <c r="B848" s="40" t="n"/>
      <c r="C848" s="40" t="n"/>
    </row>
    <row r="849">
      <c r="B849" s="40" t="n"/>
      <c r="C849" s="40" t="n"/>
    </row>
    <row r="850">
      <c r="B850" s="40" t="n"/>
      <c r="C850" s="40" t="n"/>
    </row>
    <row r="851">
      <c r="B851" s="40" t="n"/>
      <c r="C851" s="40" t="n"/>
    </row>
    <row r="852">
      <c r="B852" s="40" t="n"/>
      <c r="C852" s="40" t="n"/>
    </row>
    <row r="853">
      <c r="B853" s="40" t="n"/>
      <c r="C853" s="40" t="n"/>
    </row>
    <row r="854">
      <c r="B854" s="40" t="n"/>
      <c r="C854" s="40" t="n"/>
    </row>
    <row r="855">
      <c r="B855" s="40" t="n"/>
      <c r="C855" s="40" t="n"/>
    </row>
    <row r="856">
      <c r="B856" s="40" t="n"/>
      <c r="C856" s="40" t="n"/>
    </row>
    <row r="857">
      <c r="B857" s="40" t="n"/>
      <c r="C857" s="40" t="n"/>
    </row>
    <row r="858">
      <c r="B858" s="40" t="n"/>
      <c r="C858" s="40" t="n"/>
    </row>
    <row r="859">
      <c r="B859" s="40" t="n"/>
      <c r="C859" s="40" t="n"/>
    </row>
    <row r="860">
      <c r="B860" s="40" t="n"/>
      <c r="C860" s="40" t="n"/>
    </row>
    <row r="861">
      <c r="B861" s="40" t="n"/>
      <c r="C861" s="40" t="n"/>
    </row>
    <row r="862">
      <c r="B862" s="40" t="n"/>
      <c r="C862" s="40" t="n"/>
    </row>
    <row r="863">
      <c r="B863" s="40" t="n"/>
      <c r="C863" s="40" t="n"/>
    </row>
    <row r="864">
      <c r="B864" s="40" t="n"/>
      <c r="C864" s="40" t="n"/>
    </row>
    <row r="865">
      <c r="B865" s="40" t="n"/>
      <c r="C865" s="40" t="n"/>
    </row>
    <row r="866">
      <c r="B866" s="40" t="n"/>
      <c r="C866" s="40" t="n"/>
    </row>
    <row r="867">
      <c r="B867" s="40" t="n"/>
      <c r="C867" s="40" t="n"/>
    </row>
    <row r="868">
      <c r="B868" s="40" t="n"/>
      <c r="C868" s="40" t="n"/>
    </row>
    <row r="869">
      <c r="B869" s="40" t="n"/>
      <c r="C869" s="40" t="n"/>
    </row>
    <row r="870">
      <c r="B870" s="40" t="n"/>
      <c r="C870" s="40" t="n"/>
    </row>
    <row r="871">
      <c r="B871" s="40" t="n"/>
      <c r="C871" s="40" t="n"/>
    </row>
    <row r="872">
      <c r="B872" s="40" t="n"/>
      <c r="C872" s="40" t="n"/>
    </row>
    <row r="873">
      <c r="B873" s="40" t="n"/>
      <c r="C873" s="40" t="n"/>
    </row>
    <row r="874">
      <c r="B874" s="40" t="n"/>
      <c r="C874" s="40" t="n"/>
    </row>
    <row r="875">
      <c r="B875" s="40" t="n"/>
      <c r="C875" s="40" t="n"/>
    </row>
    <row r="876">
      <c r="B876" s="40" t="n"/>
      <c r="C876" s="40" t="n"/>
    </row>
    <row r="877">
      <c r="B877" s="40" t="n"/>
      <c r="C877" s="40" t="n"/>
    </row>
    <row r="878">
      <c r="B878" s="40" t="n"/>
      <c r="C878" s="40" t="n"/>
    </row>
    <row r="879">
      <c r="B879" s="40" t="n"/>
      <c r="C879" s="40" t="n"/>
    </row>
    <row r="880">
      <c r="B880" s="40" t="n"/>
      <c r="C880" s="40" t="n"/>
    </row>
    <row r="881">
      <c r="B881" s="40" t="n"/>
      <c r="C881" s="40" t="n"/>
    </row>
    <row r="882">
      <c r="B882" s="40" t="n"/>
      <c r="C882" s="40" t="n"/>
    </row>
    <row r="883">
      <c r="B883" s="40" t="n"/>
      <c r="C883" s="40" t="n"/>
    </row>
    <row r="884">
      <c r="B884" s="40" t="n"/>
      <c r="C884" s="40" t="n"/>
    </row>
    <row r="885">
      <c r="B885" s="40" t="n"/>
      <c r="C885" s="40" t="n"/>
    </row>
    <row r="886">
      <c r="B886" s="40" t="n"/>
      <c r="C886" s="40" t="n"/>
    </row>
    <row r="887">
      <c r="B887" s="40" t="n"/>
      <c r="C887" s="40" t="n"/>
    </row>
    <row r="888">
      <c r="B888" s="40" t="n"/>
      <c r="C888" s="40" t="n"/>
    </row>
    <row r="889">
      <c r="B889" s="40" t="n"/>
      <c r="C889" s="40" t="n"/>
    </row>
    <row r="890">
      <c r="B890" s="40" t="n"/>
      <c r="C890" s="40" t="n"/>
    </row>
    <row r="891">
      <c r="B891" s="40" t="n"/>
      <c r="C891" s="40" t="n"/>
    </row>
    <row r="892">
      <c r="B892" s="40" t="n"/>
      <c r="C892" s="40" t="n"/>
    </row>
    <row r="893">
      <c r="B893" s="40" t="n"/>
      <c r="C893" s="40" t="n"/>
    </row>
    <row r="894">
      <c r="B894" s="40" t="n"/>
      <c r="C894" s="40" t="n"/>
    </row>
    <row r="895">
      <c r="B895" s="40" t="n"/>
      <c r="C895" s="40" t="n"/>
    </row>
    <row r="896">
      <c r="B896" s="40" t="n"/>
      <c r="C896" s="40" t="n"/>
    </row>
    <row r="897">
      <c r="B897" s="40" t="n"/>
      <c r="C897" s="40" t="n"/>
    </row>
    <row r="898">
      <c r="B898" s="40" t="n"/>
      <c r="C898" s="40" t="n"/>
    </row>
    <row r="899">
      <c r="B899" s="40" t="n"/>
      <c r="C899" s="40" t="n"/>
    </row>
    <row r="900">
      <c r="B900" s="40" t="n"/>
      <c r="C900" s="40" t="n"/>
    </row>
    <row r="901">
      <c r="B901" s="40" t="n"/>
      <c r="C901" s="40" t="n"/>
    </row>
    <row r="902">
      <c r="B902" s="40" t="n"/>
      <c r="C902" s="40" t="n"/>
    </row>
    <row r="903">
      <c r="B903" s="40" t="n"/>
      <c r="C903" s="40" t="n"/>
    </row>
    <row r="904">
      <c r="B904" s="40" t="n"/>
      <c r="C904" s="40" t="n"/>
    </row>
    <row r="905">
      <c r="B905" s="40" t="n"/>
      <c r="C905" s="40" t="n"/>
    </row>
    <row r="906">
      <c r="B906" s="40" t="n"/>
      <c r="C906" s="40" t="n"/>
    </row>
    <row r="907">
      <c r="B907" s="40" t="n"/>
      <c r="C907" s="40" t="n"/>
    </row>
    <row r="908">
      <c r="B908" s="40" t="n"/>
      <c r="C908" s="40" t="n"/>
    </row>
    <row r="909">
      <c r="B909" s="40" t="n"/>
      <c r="C909" s="40" t="n"/>
    </row>
    <row r="910">
      <c r="B910" s="40" t="n"/>
      <c r="C910" s="40" t="n"/>
    </row>
    <row r="911">
      <c r="B911" s="40" t="n"/>
      <c r="C911" s="40" t="n"/>
    </row>
    <row r="912">
      <c r="B912" s="40" t="n"/>
      <c r="C912" s="40" t="n"/>
    </row>
    <row r="913">
      <c r="B913" s="40" t="n"/>
      <c r="C913" s="40" t="n"/>
    </row>
    <row r="914">
      <c r="B914" s="40" t="n"/>
      <c r="C914" s="40" t="n"/>
    </row>
    <row r="915">
      <c r="B915" s="40" t="n"/>
      <c r="C915" s="40" t="n"/>
    </row>
    <row r="916">
      <c r="B916" s="40" t="n"/>
      <c r="C916" s="40" t="n"/>
    </row>
    <row r="917">
      <c r="B917" s="40" t="n"/>
      <c r="C917" s="40" t="n"/>
    </row>
    <row r="918">
      <c r="B918" s="40" t="n"/>
      <c r="C918" s="40" t="n"/>
    </row>
    <row r="919">
      <c r="B919" s="40" t="n"/>
      <c r="C919" s="40" t="n"/>
    </row>
    <row r="920">
      <c r="B920" s="40" t="n"/>
      <c r="C920" s="40" t="n"/>
    </row>
    <row r="921">
      <c r="B921" s="40" t="n"/>
      <c r="C921" s="40" t="n"/>
    </row>
    <row r="922">
      <c r="B922" s="40" t="n"/>
      <c r="C922" s="40" t="n"/>
    </row>
    <row r="923">
      <c r="B923" s="40" t="n"/>
      <c r="C923" s="40" t="n"/>
    </row>
    <row r="924">
      <c r="B924" s="40" t="n"/>
      <c r="C924" s="40" t="n"/>
    </row>
    <row r="925">
      <c r="B925" s="40" t="n"/>
      <c r="C925" s="40" t="n"/>
    </row>
    <row r="926">
      <c r="B926" s="40" t="n"/>
      <c r="C926" s="40" t="n"/>
    </row>
    <row r="927">
      <c r="B927" s="40" t="n"/>
      <c r="C927" s="40" t="n"/>
    </row>
    <row r="928">
      <c r="B928" s="40" t="n"/>
      <c r="C928" s="40" t="n"/>
    </row>
    <row r="929">
      <c r="B929" s="40" t="n"/>
      <c r="C929" s="40" t="n"/>
    </row>
    <row r="930">
      <c r="B930" s="40" t="n"/>
      <c r="C930" s="40" t="n"/>
    </row>
    <row r="931">
      <c r="B931" s="40" t="n"/>
      <c r="C931" s="40" t="n"/>
    </row>
    <row r="932">
      <c r="B932" s="40" t="n"/>
      <c r="C932" s="40" t="n"/>
    </row>
    <row r="933">
      <c r="B933" s="40" t="n"/>
      <c r="C933" s="40" t="n"/>
    </row>
    <row r="934">
      <c r="B934" s="40" t="n"/>
      <c r="C934" s="40" t="n"/>
    </row>
    <row r="935">
      <c r="B935" s="40" t="n"/>
      <c r="C935" s="40" t="n"/>
    </row>
    <row r="936">
      <c r="B936" s="40" t="n"/>
      <c r="C936" s="40" t="n"/>
    </row>
    <row r="937">
      <c r="B937" s="40" t="n"/>
      <c r="C937" s="40" t="n"/>
    </row>
    <row r="938">
      <c r="B938" s="40" t="n"/>
      <c r="C938" s="40" t="n"/>
    </row>
    <row r="939">
      <c r="B939" s="40" t="n"/>
      <c r="C939" s="40" t="n"/>
    </row>
    <row r="940">
      <c r="B940" s="40" t="n"/>
      <c r="C940" s="40" t="n"/>
    </row>
    <row r="941">
      <c r="B941" s="40" t="n"/>
      <c r="C941" s="40" t="n"/>
    </row>
    <row r="942">
      <c r="B942" s="40" t="n"/>
      <c r="C942" s="40" t="n"/>
    </row>
    <row r="943">
      <c r="B943" s="40" t="n"/>
      <c r="C943" s="40" t="n"/>
    </row>
    <row r="944">
      <c r="B944" s="40" t="n"/>
      <c r="C944" s="40" t="n"/>
    </row>
    <row r="945">
      <c r="B945" s="40" t="n"/>
      <c r="C945" s="40" t="n"/>
    </row>
    <row r="946">
      <c r="B946" s="40" t="n"/>
      <c r="C946" s="40" t="n"/>
    </row>
    <row r="947">
      <c r="B947" s="40" t="n"/>
      <c r="C947" s="40" t="n"/>
    </row>
    <row r="948">
      <c r="B948" s="40" t="n"/>
      <c r="C948" s="40" t="n"/>
    </row>
    <row r="949">
      <c r="B949" s="40" t="n"/>
      <c r="C949" s="40" t="n"/>
    </row>
    <row r="950">
      <c r="B950" s="40" t="n"/>
      <c r="C950" s="40" t="n"/>
    </row>
    <row r="951">
      <c r="B951" s="40" t="n"/>
      <c r="C951" s="40" t="n"/>
    </row>
    <row r="952">
      <c r="B952" s="40" t="n"/>
      <c r="C952" s="40" t="n"/>
    </row>
    <row r="953">
      <c r="B953" s="40" t="n"/>
      <c r="C953" s="40" t="n"/>
    </row>
    <row r="954">
      <c r="B954" s="40" t="n"/>
      <c r="C954" s="40" t="n"/>
    </row>
    <row r="955">
      <c r="B955" s="40" t="n"/>
      <c r="C955" s="40" t="n"/>
    </row>
    <row r="956">
      <c r="B956" s="40" t="n"/>
      <c r="C956" s="40" t="n"/>
    </row>
    <row r="957">
      <c r="B957" s="40" t="n"/>
      <c r="C957" s="40" t="n"/>
    </row>
    <row r="958">
      <c r="B958" s="40" t="n"/>
      <c r="C958" s="40" t="n"/>
    </row>
    <row r="959">
      <c r="B959" s="40" t="n"/>
      <c r="C959" s="40" t="n"/>
    </row>
    <row r="960">
      <c r="B960" s="40" t="n"/>
      <c r="C960" s="40" t="n"/>
    </row>
    <row r="961">
      <c r="B961" s="40" t="n"/>
      <c r="C961" s="40" t="n"/>
    </row>
    <row r="962">
      <c r="B962" s="40" t="n"/>
      <c r="C962" s="40" t="n"/>
    </row>
    <row r="963">
      <c r="B963" s="40" t="n"/>
      <c r="C963" s="40" t="n"/>
    </row>
    <row r="964">
      <c r="B964" s="40" t="n"/>
      <c r="C964" s="40" t="n"/>
    </row>
    <row r="965">
      <c r="B965" s="40" t="n"/>
      <c r="C965" s="40" t="n"/>
    </row>
    <row r="966">
      <c r="B966" s="40" t="n"/>
      <c r="C966" s="40" t="n"/>
    </row>
    <row r="967">
      <c r="B967" s="40" t="n"/>
      <c r="C967" s="40" t="n"/>
    </row>
    <row r="968">
      <c r="B968" s="40" t="n"/>
      <c r="C968" s="40" t="n"/>
    </row>
    <row r="969">
      <c r="B969" s="40" t="n"/>
      <c r="C969" s="40" t="n"/>
    </row>
    <row r="970">
      <c r="B970" s="40" t="n"/>
      <c r="C970" s="40" t="n"/>
    </row>
    <row r="971">
      <c r="B971" s="40" t="n"/>
      <c r="C971" s="40" t="n"/>
    </row>
    <row r="972">
      <c r="B972" s="40" t="n"/>
      <c r="C972" s="40" t="n"/>
    </row>
    <row r="973">
      <c r="B973" s="40" t="n"/>
      <c r="C973" s="40" t="n"/>
    </row>
    <row r="974">
      <c r="B974" s="40" t="n"/>
      <c r="C974" s="40" t="n"/>
    </row>
    <row r="975">
      <c r="B975" s="40" t="n"/>
      <c r="C975" s="40" t="n"/>
    </row>
    <row r="976">
      <c r="B976" s="40" t="n"/>
      <c r="C976" s="40" t="n"/>
    </row>
    <row r="977">
      <c r="B977" s="40" t="n"/>
      <c r="C977" s="40" t="n"/>
    </row>
    <row r="978">
      <c r="B978" s="40" t="n"/>
      <c r="C978" s="40" t="n"/>
    </row>
    <row r="979">
      <c r="B979" s="40" t="n"/>
      <c r="C979" s="40" t="n"/>
    </row>
    <row r="980">
      <c r="B980" s="40" t="n"/>
      <c r="C980" s="40" t="n"/>
    </row>
    <row r="981">
      <c r="B981" s="40" t="n"/>
      <c r="C981" s="40" t="n"/>
    </row>
    <row r="982">
      <c r="B982" s="40" t="n"/>
      <c r="C982" s="40" t="n"/>
    </row>
    <row r="983">
      <c r="B983" s="40" t="n"/>
      <c r="C983" s="40" t="n"/>
    </row>
    <row r="984">
      <c r="B984" s="40" t="n"/>
      <c r="C984" s="40" t="n"/>
    </row>
    <row r="985">
      <c r="B985" s="40" t="n"/>
      <c r="C985" s="40" t="n"/>
    </row>
    <row r="986">
      <c r="B986" s="40" t="n"/>
      <c r="C986" s="40" t="n"/>
    </row>
    <row r="987">
      <c r="B987" s="40" t="n"/>
      <c r="C987" s="40" t="n"/>
    </row>
    <row r="988">
      <c r="B988" s="40" t="n"/>
      <c r="C988" s="40" t="n"/>
    </row>
    <row r="989">
      <c r="B989" s="40" t="n"/>
      <c r="C989" s="40" t="n"/>
    </row>
    <row r="990">
      <c r="B990" s="40" t="n"/>
      <c r="C990" s="40" t="n"/>
    </row>
    <row r="991">
      <c r="B991" s="40" t="n"/>
      <c r="C991" s="40" t="n"/>
    </row>
    <row r="992">
      <c r="B992" s="40" t="n"/>
      <c r="C992" s="40" t="n"/>
    </row>
  </sheetData>
  <mergeCells count="2">
    <mergeCell ref="E2:G2"/>
    <mergeCell ref="H2:I2"/>
  </mergeCells>
  <hyperlinks>
    <hyperlink ref="C4" location="'AW_FEPL_001'!A1" display="AW_FEPL_00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J997"/>
  <sheetViews>
    <sheetView showGridLines="0"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TC-FEPL-001</t>
        </is>
      </c>
      <c r="C2" s="63" t="inlineStr">
        <is>
          <t>Màn danh sách</t>
        </is>
      </c>
      <c r="D2" s="71" t="inlineStr">
        <is>
          <t>UI</t>
        </is>
      </c>
      <c r="E2" s="71" t="inlineStr">
        <is>
          <t>Medium</t>
        </is>
      </c>
      <c r="F2" s="71" t="inlineStr">
        <is>
          <t>AC-15</t>
        </is>
      </c>
      <c r="G2" s="63" t="inlineStr">
        <is>
          <t>[UI Visual] Check màn Danh sách Master phí giới thiệu hiển thị đầy đủ các thành phần theo thiết kế</t>
        </is>
      </c>
      <c r="H2" s="71" t="inlineStr">
        <is>
          <t>Đăng nhập bằng tài khoản có đủ quyền Create, Update, Delete</t>
        </is>
      </c>
      <c r="I2" s="71" t="inlineStr">
        <is>
          <t>1. Đăng nhập hệ thống admin
2. Trên sidebar chọn 代理・紹介管理
3. Chọn mục 紹介フィーマスタ</t>
        </is>
      </c>
      <c r="J2" s="70" t="inlineStr">
        <is>
          <t>Màn hiển thị: breadcrumb 代理・紹介管理 / 紹介フィーマスタ, tiêu đề màn, nút ＋新規登録 ở góc phải trên, bảng danh sách 12 cột (No, フィープランID, フィープラン名, 紹介元区分, 支払区分, 算定方式, フィー金額・率, 支払期間, 状態, 最終更新日, ✏, 🗑), khu vực phân trang phía dưới. Mục 紹介フィーマスタ trên sidebar được highlight nền xanh</t>
        </is>
      </c>
      <c r="K2" s="70" t="inlineStr">
        <is>
          <t>Tài khoản `qc_admin_full@estest.local`</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TC-FEPL-002</t>
        </is>
      </c>
      <c r="C3" s="63" t="inlineStr">
        <is>
          <t>Cột フィープランID</t>
        </is>
      </c>
      <c r="D3" s="63" t="inlineStr">
        <is>
          <t>Behavior</t>
        </is>
      </c>
      <c r="E3" s="63" t="inlineStr">
        <is>
          <t>Medium</t>
        </is>
      </c>
      <c r="F3" s="63" t="inlineStr">
        <is>
          <t>AC-15</t>
        </is>
      </c>
      <c r="G3" s="63" t="inlineStr">
        <is>
          <t>Check ID gói phí hiển thị đúng định dạng RFP cộng 6 chữ số và là link bấm được</t>
        </is>
      </c>
      <c r="H3" s="71" t="inlineStr">
        <is>
          <t>Đã có sẵn gói phí `RFP000001` trong hệ thống</t>
        </is>
      </c>
      <c r="I3" s="71" t="inlineStr">
        <is>
          <t>1. Mở màn 紹介フィーマスタ
2. Quan sát cột フィープランID của dòng chứa gói 代理店紹介A</t>
        </is>
      </c>
      <c r="J3" s="70" t="inlineStr">
        <is>
          <t>Giá trị hiển thị đúng `RFP000001` (tiền tố RFP cộng 6 chữ số). Chuỗi hiển thị màu xanh dạng text link, con trỏ chuột đổi thành hình bàn tay khi rê vào</t>
        </is>
      </c>
      <c r="K3" s="70" t="inlineStr">
        <is>
          <t>`RFP000001`</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TC-FEPL-003</t>
        </is>
      </c>
      <c r="C4" s="71" t="inlineStr">
        <is>
          <t>Cột フィー金額・率</t>
        </is>
      </c>
      <c r="D4" s="63" t="inlineStr">
        <is>
          <t>Logic</t>
        </is>
      </c>
      <c r="E4" s="63" t="inlineStr">
        <is>
          <t>High</t>
        </is>
      </c>
      <c r="F4" s="63" t="inlineStr">
        <is>
          <t>AC-05</t>
        </is>
      </c>
      <c r="G4" s="63" t="inlineStr">
        <is>
          <t>Check cột Số tiền và Tỷ lệ phí hiển thị đúng định dạng số tiền khi phương pháp tính là số tiền cố định</t>
        </is>
      </c>
      <c r="H4" s="63" t="inlineStr">
        <is>
          <t>Đã có gói `RFP000001` với 算定方式 = 固定額, số tiền 33,000円</t>
        </is>
      </c>
      <c r="I4" s="71" t="inlineStr">
        <is>
          <t>1. Mở màn 紹介フィーマスタ
2. Tìm dòng có フィープランID là `RFP000001`
3. Quan sát cột フィー金額・率</t>
        </is>
      </c>
      <c r="J4" s="70" t="inlineStr">
        <is>
          <t>Ô hiển thị `33,000円` — có dấu phẩy phân cách 3 chữ số và hậu tố 円</t>
        </is>
      </c>
      <c r="K4" s="70" t="inlineStr">
        <is>
          <t>`RFP000001`, 算定方式 = 固定額, 33000</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TC-FEPL-004</t>
        </is>
      </c>
      <c r="C5" s="71" t="inlineStr">
        <is>
          <t>Cột フィー金額・率</t>
        </is>
      </c>
      <c r="D5" s="63" t="inlineStr">
        <is>
          <t>Logic</t>
        </is>
      </c>
      <c r="E5" s="63" t="inlineStr">
        <is>
          <t>High</t>
        </is>
      </c>
      <c r="F5" s="63" t="inlineStr">
        <is>
          <t>AC-05</t>
        </is>
      </c>
      <c r="G5" s="63" t="inlineStr">
        <is>
          <t>Check cột Số tiền và Tỷ lệ phí hiển thị đúng văn bản cố định khi phương pháp tính là số tiền theo lần cung cấp hàng tháng</t>
        </is>
      </c>
      <c r="H5" s="71" t="inlineStr">
        <is>
          <t>Đã có gói `RFP000002` với 算定方式 = 月次提供回の金額</t>
        </is>
      </c>
      <c r="I5" s="71" t="inlineStr">
        <is>
          <t>1. Mở màn 紹介フィーマスタ
2. Tìm dòng có フィープランID là `RFP000002`
3. Quan sát cột フィー金額・率</t>
        </is>
      </c>
      <c r="J5" s="70" t="inlineStr">
        <is>
          <t>Ô hiển thị đúng văn bản cố định `プラン別設定`, không hiển thị số tiền cụ thể</t>
        </is>
      </c>
      <c r="K5" s="70" t="inlineStr">
        <is>
          <t>`RFP000002`, 算定方式 = 月次提供回の金額</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TC-FEPL-005</t>
        </is>
      </c>
      <c r="C6" s="71" t="inlineStr">
        <is>
          <t>Cột フィー金額・率</t>
        </is>
      </c>
      <c r="D6" s="63" t="inlineStr">
        <is>
          <t>Logic</t>
        </is>
      </c>
      <c r="E6" s="63" t="inlineStr">
        <is>
          <t>High</t>
        </is>
      </c>
      <c r="F6" s="63" t="inlineStr">
        <is>
          <t>AC-05</t>
        </is>
      </c>
      <c r="G6" s="63" t="inlineStr">
        <is>
          <t>Check cột Số tiền và Tỷ lệ phí hiển thị đúng định dạng phần trăm khi phương pháp tính là tỷ lệ trên số tiền yêu cầu thanh toán</t>
        </is>
      </c>
      <c r="H6" s="71" t="inlineStr">
        <is>
          <t>Đã có gói `RFP000003` với 算定方式 = 請求額割合, tỷ lệ 10%</t>
        </is>
      </c>
      <c r="I6" s="71" t="inlineStr">
        <is>
          <t>1. Mở màn 紹介フィーマスタ
2. Tìm dòng có フィープランID là `RFP000003`
3. Quan sát cột フィー金額・率</t>
        </is>
      </c>
      <c r="J6" s="70" t="inlineStr">
        <is>
          <t>Ô hiển thị `10%` — có hậu tố phần trăm, không có hậu tố 円</t>
        </is>
      </c>
      <c r="K6" s="70" t="inlineStr">
        <is>
          <t>`RFP000003`, 算定方式 = 請求額割合, 10</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TC-FEPL-006</t>
        </is>
      </c>
      <c r="C7" s="71" t="inlineStr">
        <is>
          <t>Cột 支払期間</t>
        </is>
      </c>
      <c r="D7" s="63" t="inlineStr">
        <is>
          <t>Logic</t>
        </is>
      </c>
      <c r="E7" s="63" t="inlineStr">
        <is>
          <t>High</t>
        </is>
      </c>
      <c r="F7" s="63" t="inlineStr">
        <is>
          <t>AC-05</t>
        </is>
      </c>
      <c r="G7" s="63" t="inlineStr">
        <is>
          <t>Check cột Kỳ hạn thanh toán hiển thị giá trị cố định 1回 khi phân loại thanh toán là một lần</t>
        </is>
      </c>
      <c r="H7" s="63" t="inlineStr">
        <is>
          <t>Đã có gói `RFP000001` với 支払区分 = 単発</t>
        </is>
      </c>
      <c r="I7" s="71" t="inlineStr">
        <is>
          <t>1. Mở màn 紹介フィーマスタ
2. Tìm dòng có フィープランID là `RFP000001`
3. Quan sát cột 支払期間</t>
        </is>
      </c>
      <c r="J7" s="70" t="inlineStr">
        <is>
          <t>Ô hiển thị đúng `1回`</t>
        </is>
      </c>
      <c r="K7" s="70" t="inlineStr">
        <is>
          <t>`RFP000001`, 支払区分 = 単発</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TC-FEPL-007</t>
        </is>
      </c>
      <c r="C8" s="71" t="inlineStr">
        <is>
          <t>Cột 支払期間</t>
        </is>
      </c>
      <c r="D8" s="63" t="inlineStr">
        <is>
          <t>Logic</t>
        </is>
      </c>
      <c r="E8" s="63" t="inlineStr">
        <is>
          <t>High</t>
        </is>
      </c>
      <c r="F8" s="63" t="inlineStr">
        <is>
          <t>AC-05</t>
        </is>
      </c>
      <c r="G8" s="63" t="inlineStr">
        <is>
          <t>Check cột Kỳ hạn thanh toán hiển thị số tháng khi phân loại thanh toán là liên tục theo tháng</t>
        </is>
      </c>
      <c r="H8" s="71" t="inlineStr">
        <is>
          <t>Đã có gói `RFP000002` với 支払区分 = 継続（ヶ月）, kỳ hạn 36 tháng</t>
        </is>
      </c>
      <c r="I8" s="71" t="inlineStr">
        <is>
          <t>1. Mở màn 紹介フィーマスタ
2. Tìm dòng có フィープランID là `RFP000002`
3. Quan sát cột 支払期間</t>
        </is>
      </c>
      <c r="J8" s="70" t="inlineStr">
        <is>
          <t>Ô hiển thị `36ヶ月`</t>
        </is>
      </c>
      <c r="K8" s="70" t="inlineStr">
        <is>
          <t>`RFP000002`, 支払期間 = 36</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TC-FEPL-008</t>
        </is>
      </c>
      <c r="C9" s="71" t="inlineStr">
        <is>
          <t>Cột 支払期間</t>
        </is>
      </c>
      <c r="D9" s="63" t="inlineStr">
        <is>
          <t>Logic</t>
        </is>
      </c>
      <c r="E9" s="63" t="inlineStr">
        <is>
          <t>High</t>
        </is>
      </c>
      <c r="F9" s="63" t="inlineStr">
        <is>
          <t>AC-05</t>
        </is>
      </c>
      <c r="G9" s="63" t="inlineStr">
        <is>
          <t>Check cột Kỳ hạn thanh toán hiển thị 永続 khi phân loại thanh toán là liên tục vĩnh viễn</t>
        </is>
      </c>
      <c r="H9" s="71" t="inlineStr">
        <is>
          <t>Đã có gói `RFP000003` với 支払区分 = 継続（永続）</t>
        </is>
      </c>
      <c r="I9" s="63" t="inlineStr">
        <is>
          <t>1. Mở màn 紹介フィーマスタ
2. Tìm dòng có フィープランID là `RFP000003`
3. Quan sát cột 支払期間</t>
        </is>
      </c>
      <c r="J9" s="70" t="inlineStr">
        <is>
          <t>Ô hiển thị đúng `永続`</t>
        </is>
      </c>
      <c r="K9" s="70" t="inlineStr">
        <is>
          <t>`RFP000003`, 支払区分 = 継続（永続）</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TC-FEPL-009</t>
        </is>
      </c>
      <c r="C10" s="71" t="inlineStr">
        <is>
          <t>Cột 最終更新日</t>
        </is>
      </c>
      <c r="D10" s="63" t="inlineStr">
        <is>
          <t>Behavior</t>
        </is>
      </c>
      <c r="E10" s="63" t="inlineStr">
        <is>
          <t>Low</t>
        </is>
      </c>
      <c r="F10" s="63" t="inlineStr">
        <is>
          <t>AC-15</t>
        </is>
      </c>
      <c r="G10" s="63" t="inlineStr">
        <is>
          <t>Check ngày cập nhật cuối hiển thị đúng định dạng yyyy-mm-dd và tự cập nhật sau khi sửa gói phí</t>
        </is>
      </c>
      <c r="H10" s="71" t="inlineStr">
        <is>
          <t>Đã có gói `RFP000006`, ghi nhớ giá trị 最終更新日 hiện tại</t>
        </is>
      </c>
      <c r="I10" s="63" t="inlineStr">
        <is>
          <t>1. Mở màn 紹介フィーマスタ, ghi lại 最終更新日 của `RFP000006`
2. Bấm icon ✏ của dòng đó
3. Sửa フィープラン名 thành `未使用プラン更新`
4. Bấm 保存
5. Quay lại màn danh sách</t>
        </is>
      </c>
      <c r="J10" s="70" t="inlineStr">
        <is>
          <t>最終更新日 của `RFP000006` đổi thành ngày hiện tại, hiển thị đúng định dạng yyyy-mm-dd (ví dụ `2026-09-22`)</t>
        </is>
      </c>
      <c r="K10" s="70" t="inlineStr">
        <is>
          <t>`RFP000006`, tên mới `未使用プラン更新`</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TC-FEPL-010</t>
        </is>
      </c>
      <c r="C11" s="71" t="inlineStr">
        <is>
          <t>Nút ＋新規登録</t>
        </is>
      </c>
      <c r="D11" s="63" t="inlineStr">
        <is>
          <t>Behavior</t>
        </is>
      </c>
      <c r="E11" s="63" t="inlineStr">
        <is>
          <t>Medium</t>
        </is>
      </c>
      <c r="F11" s="63" t="inlineStr">
        <is>
          <t>AC-01</t>
        </is>
      </c>
      <c r="G11" s="63" t="inlineStr">
        <is>
          <t>Check nút Đăng ký mới bị ẩn hoàn toàn khi tài khoản không có quyền Create</t>
        </is>
      </c>
      <c r="H11" s="71" t="inlineStr">
        <is>
          <t>Có tài khoản chỉ được cấp quyền Update, không có quyền Create</t>
        </is>
      </c>
      <c r="I11" s="63" t="inlineStr">
        <is>
          <t>1. Đăng nhập bằng `qc_admin_update@estest.local`
2. Mở màn 紹介フィーマスタ
3. Quan sát góc phải trên của page header
4. Mở DevTools và tìm phần tử nút ＋新規登録 trong DOM</t>
        </is>
      </c>
      <c r="J11" s="70" t="inlineStr">
        <is>
          <t>Nút ＋新規登録 không hiển thị trên giao diện và không tồn tại trong DOM. Truy cập thẳng URL màn đăng ký cũng bị chặn</t>
        </is>
      </c>
      <c r="K11" s="70" t="inlineStr">
        <is>
          <t>`qc_admin_update@estest.local`</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TC-FEPL-011</t>
        </is>
      </c>
      <c r="C12" s="71" t="inlineStr">
        <is>
          <t>Icon 🗑</t>
        </is>
      </c>
      <c r="D12" s="63" t="inlineStr">
        <is>
          <t>Behavior</t>
        </is>
      </c>
      <c r="E12" s="63" t="inlineStr">
        <is>
          <t>Medium</t>
        </is>
      </c>
      <c r="F12" s="63" t="inlineStr">
        <is>
          <t>AC-01</t>
        </is>
      </c>
      <c r="G12" s="63" t="inlineStr">
        <is>
          <t>Check icon Xóa bị ẩn hoàn toàn khi tài khoản không có quyền Delete</t>
        </is>
      </c>
      <c r="H12" s="71" t="inlineStr">
        <is>
          <t>Có tài khoản chỉ được cấp quyền Create và Update, không có quyền Delete</t>
        </is>
      </c>
      <c r="I12" s="63" t="inlineStr">
        <is>
          <t>1. Đăng nhập bằng `qc_admin_create@estest.local`
2. Mở màn 紹介フィーマスタ
3. Quan sát cột thao tác của mọi dòng trong bảng</t>
        </is>
      </c>
      <c r="J12" s="70" t="inlineStr">
        <is>
          <t>Icon 🗑 không hiển thị ở bất kỳ dòng nào và không tồn tại trong DOM. Icon ✏ cũng không hiển thị vì tài khoản này không có quyền Update</t>
        </is>
      </c>
      <c r="K12" s="70" t="inlineStr">
        <is>
          <t>`qc_admin_create@estest.local`</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TC-FEPL-012</t>
        </is>
      </c>
      <c r="C13" s="71" t="inlineStr">
        <is>
          <t>Phân trang</t>
        </is>
      </c>
      <c r="D13" s="63" t="inlineStr">
        <is>
          <t>Behavior</t>
        </is>
      </c>
      <c r="E13" s="63" t="inlineStr">
        <is>
          <t>Low</t>
        </is>
      </c>
      <c r="F13" s="63" t="inlineStr">
        <is>
          <t>AC-16</t>
        </is>
      </c>
      <c r="G13" s="63" t="inlineStr">
        <is>
          <t>Check khu vực phân trang hiển thị đúng định dạng tổng số bản ghi và khoảng đang xem</t>
        </is>
      </c>
      <c r="H13" s="71" t="inlineStr">
        <is>
          <t>Hệ thống có đúng 100 gói phí giới thiệu, số dòng mỗi trang để mặc định</t>
        </is>
      </c>
      <c r="I13" s="63" t="inlineStr">
        <is>
          <t>1. Mở màn 紹介フィーマスタ
2. Quan sát dòng thông tin phân trang phía dưới bảng</t>
        </is>
      </c>
      <c r="J13" s="70" t="inlineStr">
        <is>
          <t>Hiển thị đúng chuỗi `100件中 1−10件`. Dropdown số dòng mỗi trang hiển thị `10件/ページ`. Nút điều hướng gồm dấu nhỏ hơn, dấu lớn hơn, các số trang và dấu lược ba chấm. Số trang 1 được highlight màu xanh</t>
        </is>
      </c>
      <c r="K13" s="70" t="inlineStr">
        <is>
          <t>100 bản ghi</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TC-FEPL-013</t>
        </is>
      </c>
      <c r="C14" s="71" t="inlineStr">
        <is>
          <t>Phân trang</t>
        </is>
      </c>
      <c r="D14" s="63" t="inlineStr">
        <is>
          <t>Behavior</t>
        </is>
      </c>
      <c r="E14" s="63" t="inlineStr">
        <is>
          <t>Low</t>
        </is>
      </c>
      <c r="F14" s="63" t="inlineStr">
        <is>
          <t>AC-16</t>
        </is>
      </c>
      <c r="G14" s="63" t="inlineStr">
        <is>
          <t>[UNCONFIRMED] Check số thứ tự ở cột No được đánh liên tục xuyên trang</t>
        </is>
      </c>
      <c r="H14" s="71" t="inlineStr">
        <is>
          <t>Hệ thống có 100 gói phí, đang xem trang 1 với 10 dòng mỗi trang</t>
        </is>
      </c>
      <c r="I14" s="63" t="inlineStr">
        <is>
          <t>1. Mở màn 紹介フィーマスタ
2. Ghi lại giá trị cột No của dòng cuối trang 1
3. Bấm sang trang 2
4. Quan sát giá trị cột No của dòng đầu trang 2</t>
        </is>
      </c>
      <c r="J14" s="70" t="inlineStr">
        <is>
          <t>Dòng cuối trang 1 có No bằng 10, dòng đầu trang 2 có No bằng 11 — số thứ tự chạy liên tục, không reset về 1. Ghi chú: Figma đánh dấu mục này là 要確認, cần BrSE xác nhận</t>
        </is>
      </c>
      <c r="K14" s="70" t="inlineStr">
        <is>
          <t>100 bản ghi</t>
        </is>
      </c>
      <c r="L14" s="70" t="inlineStr">
        <is>
          <t>Low</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n"/>
      <c r="C15" s="71" t="n"/>
      <c r="D15" s="63" t="n"/>
      <c r="E15" s="63" t="n"/>
      <c r="F15" s="63" t="n"/>
      <c r="G15" s="63" t="n"/>
      <c r="H15" s="71" t="n"/>
      <c r="I15" s="63" t="n"/>
      <c r="J15" s="70" t="n"/>
      <c r="K15" s="70" t="n"/>
      <c r="L15" s="70" t="n"/>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n"/>
      <c r="C16" s="71" t="n"/>
      <c r="D16" s="63" t="n"/>
      <c r="E16" s="63" t="n"/>
      <c r="F16" s="63" t="n"/>
      <c r="G16" s="63" t="n"/>
      <c r="H16" s="63" t="n"/>
      <c r="I16" s="63" t="n"/>
      <c r="J16" s="70" t="n"/>
      <c r="K16" s="70" t="n"/>
      <c r="L16" s="70" t="n"/>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TC-FEPL-014</t>
        </is>
      </c>
      <c r="C2" s="63" t="inlineStr">
        <is>
          <t>Màn đăng ký</t>
        </is>
      </c>
      <c r="D2" s="71" t="inlineStr">
        <is>
          <t>UI</t>
        </is>
      </c>
      <c r="E2" s="71" t="inlineStr">
        <is>
          <t>Medium</t>
        </is>
      </c>
      <c r="F2" s="71" t="inlineStr">
        <is>
          <t>AC-05</t>
        </is>
      </c>
      <c r="G2" s="63" t="inlineStr">
        <is>
          <t>[UI Visual] Check màn Đăng ký gói phí giới thiệu hiển thị đầy đủ hai section theo thiết kế</t>
        </is>
      </c>
      <c r="H2" s="71" t="inlineStr">
        <is>
          <t>Đăng nhập bằng tài khoản có quyền Create</t>
        </is>
      </c>
      <c r="I2" s="71" t="inlineStr">
        <is>
          <t>1. Mở màn 紹介フィーマスタ
2. Bấm nút ＋新規登録</t>
        </is>
      </c>
      <c r="J2" s="70" t="inlineStr">
        <is>
          <t>Màn hiển thị 2 section dạng accordion đều ở trạng thái mở: 紹介フィー情報 (gồm フィープランID, フィープラン名, 紹介元区分, ステータス, 備考) và フィー条件 (gồm 支払区分, 支払い期間, 算定方法 và panel tính phí). Header có nút キャンセル và nút 登録</t>
        </is>
      </c>
      <c r="K2" s="70" t="inlineStr">
        <is>
          <t>`qc_admin_full@estest.local`</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TC-FEPL-015</t>
        </is>
      </c>
      <c r="C3" s="63" t="inlineStr">
        <is>
          <t>Section accordion</t>
        </is>
      </c>
      <c r="D3" s="63" t="inlineStr">
        <is>
          <t>Behavior</t>
        </is>
      </c>
      <c r="E3" s="63" t="inlineStr">
        <is>
          <t>Low</t>
        </is>
      </c>
      <c r="F3" s="63" t="inlineStr">
        <is>
          <t>AC-05</t>
        </is>
      </c>
      <c r="G3" s="63" t="inlineStr">
        <is>
          <t>Check hai section có thể đóng và mở lại bằng icon mũi tên ở bên phải tiêu đề</t>
        </is>
      </c>
      <c r="H3" s="71" t="inlineStr">
        <is>
          <t>Đang ở màn 紹介フィーマスタ登録</t>
        </is>
      </c>
      <c r="I3" s="71" t="inlineStr">
        <is>
          <t>1. Bấm icon mũi tên bên phải tiêu đề 紹介フィー情報
2. Quan sát
3. Bấm lại icon mũi tên đó</t>
        </is>
      </c>
      <c r="J3" s="70" t="inlineStr">
        <is>
          <t>Sau bước 1 section 紹介フィー情報 thu gọn, các trường bên trong bị ẩn. Sau bước 3 section mở lại và hiển thị đầy đủ các trường, giá trị đã nhập trước đó vẫn được giữ nguyên</t>
        </is>
      </c>
      <c r="K3" s="70" t="inlineStr">
        <is>
          <t>—</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TC-FEPL-016</t>
        </is>
      </c>
      <c r="C4" s="71" t="inlineStr">
        <is>
          <t>フィープランID</t>
        </is>
      </c>
      <c r="D4" s="63" t="inlineStr">
        <is>
          <t>UI</t>
        </is>
      </c>
      <c r="E4" s="63" t="inlineStr">
        <is>
          <t>Low</t>
        </is>
      </c>
      <c r="F4" s="63" t="inlineStr">
        <is>
          <t>AC-15</t>
        </is>
      </c>
      <c r="G4" s="63" t="inlineStr">
        <is>
          <t>Check ô ID gói phí ở màn đăng ký để trống và chỉ đọc</t>
        </is>
      </c>
      <c r="H4" s="63" t="inlineStr">
        <is>
          <t>Đang ở màn 紹介フィーマスタ登録</t>
        </is>
      </c>
      <c r="I4" s="71" t="inlineStr">
        <is>
          <t>1. Quan sát ô フィープランID
2. Bấm chuột vào ô và thử gõ ký tự `TEST`</t>
        </is>
      </c>
      <c r="J4" s="70" t="inlineStr">
        <is>
          <t>Ô để trống, hiển thị placeholder `ID gói phí`. Ô ở trạng thái chỉ đọc, không nhập được ký tự nào</t>
        </is>
      </c>
      <c r="K4" s="70" t="inlineStr">
        <is>
          <t>Gõ thử `TEST`</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TC-FEPL-017</t>
        </is>
      </c>
      <c r="C5" s="71" t="inlineStr">
        <is>
          <t>Giá trị mặc định</t>
        </is>
      </c>
      <c r="D5" s="63" t="inlineStr">
        <is>
          <t>Behavior</t>
        </is>
      </c>
      <c r="E5" s="63" t="inlineStr">
        <is>
          <t>Medium</t>
        </is>
      </c>
      <c r="F5" s="63" t="inlineStr">
        <is>
          <t>AC-05</t>
        </is>
      </c>
      <c r="G5" s="63" t="inlineStr">
        <is>
          <t>Check các trường lựa chọn hiển thị đúng giá trị mặc định khi vừa mở màn đăng ký</t>
        </is>
      </c>
      <c r="H5" s="71" t="inlineStr">
        <is>
          <t>Đang ở màn 紹介フィーマスタ登録 vừa mở, chưa thao tác gì</t>
        </is>
      </c>
      <c r="I5" s="71" t="inlineStr">
        <is>
          <t>1. Quan sát trường 紹介元区分
2. Quan sát trường ステータス
3. Quan sát trường 支払区分
4. Quan sát trường 算定方法</t>
        </is>
      </c>
      <c r="J5" s="70" t="inlineStr">
        <is>
          <t>紹介元区分 chọn sẵn `法人紹介`. ステータス chọn sẵn `有効`. 支払区分 chọn sẵn `単発`. 算定方法 chọn sẵn `固定額` và panel 2.4 固定額設定 đang hiển thị</t>
        </is>
      </c>
      <c r="K5" s="70" t="inlineStr">
        <is>
          <t>—</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TC-FEPL-018</t>
        </is>
      </c>
      <c r="C6" s="71" t="inlineStr">
        <is>
          <t>Luồng đăng ký</t>
        </is>
      </c>
      <c r="D6" s="63" t="inlineStr">
        <is>
          <t>Happy Path</t>
        </is>
      </c>
      <c r="E6" s="63" t="inlineStr">
        <is>
          <t>High</t>
        </is>
      </c>
      <c r="F6" s="63" t="inlineStr">
        <is>
          <t>AC-05, AC-15</t>
        </is>
      </c>
      <c r="G6" s="63" t="inlineStr">
        <is>
          <t>Check đăng ký thành công gói phí giới thiệu với phương pháp tính là số tiền cố định</t>
        </is>
      </c>
      <c r="H6" s="71" t="inlineStr">
        <is>
          <t>Đăng nhập bằng tài khoản có quyền Create, đang ở màn 紹介フィーマスタ登録</t>
        </is>
      </c>
      <c r="I6" s="71" t="inlineStr">
        <is>
          <t>1. Nhập フィープラン名 là `代理店紹介E`
2. Chọn 紹介元区分 là 代理店紹介
3. Giữ ステータス là 有効
4. Chọn 支払区分 là 単発
5. Giữ 算定方法 là 固定額
6. Nhập フィー金額（円）税込 là `33000`
7. Bấm nút 登録</t>
        </is>
      </c>
      <c r="J6" s="70" t="inlineStr">
        <is>
          <t>Hệ thống lưu thành công, điều hướng về màn 紹介フィーマスタ danh sách và hiển thị toast hoàn tất. Dòng mới xuất hiện trong danh sách với フィープランID được sinh tự động theo định dạng RFP cộng 6 chữ số, フィー金額・率 hiển thị `33,000円`, 支払期間 hiển thị `1回`, 状態 là 有効</t>
        </is>
      </c>
      <c r="K6" s="70" t="inlineStr">
        <is>
          <t>Tên `代理店紹介E`, số tiền `33000`</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TC-FEPL-019</t>
        </is>
      </c>
      <c r="C7" s="71" t="inlineStr">
        <is>
          <t>Luồng đăng ký</t>
        </is>
      </c>
      <c r="D7" s="63" t="inlineStr">
        <is>
          <t>Happy Path</t>
        </is>
      </c>
      <c r="E7" s="63" t="inlineStr">
        <is>
          <t>High</t>
        </is>
      </c>
      <c r="F7" s="63" t="inlineStr">
        <is>
          <t>AC-05</t>
        </is>
      </c>
      <c r="G7" s="63" t="inlineStr">
        <is>
          <t>Check đăng ký thành công gói phí với phương pháp tính là số tiền theo lần cung cấp hàng tháng</t>
        </is>
      </c>
      <c r="H7" s="63" t="inlineStr">
        <is>
          <t>Đăng nhập bằng tài khoản có quyền Create, đang ở màn 紹介フィーマスタ登録</t>
        </is>
      </c>
      <c r="I7" s="71" t="inlineStr">
        <is>
          <t>1. Nhập フィープラン名 là `代理店紹介F`
2. Chọn 紹介元区分 là 代理店紹介
3. Chọn 支払区分 là 継続（ヶ月）
4. Nhập 支払い期間（ヶ月） là `36`
5. Chọn 算定方法 là 月次提供回の金額
6. Ở panel 2.5 nhập dòng 1 với cận dưới `1`, cận trên `100`, số tiền `5000`
7. Bấm nút 登録</t>
        </is>
      </c>
      <c r="J7" s="70" t="inlineStr">
        <is>
          <t>Hệ thống lưu thành công và quay về danh sách kèm toast hoàn tất. Dòng mới có 算定方式 là プラン別, フィー金額・率 hiển thị `プラン別設定`, 支払期間 hiển thị `36ヶ月`</t>
        </is>
      </c>
      <c r="K7" s="70" t="inlineStr">
        <is>
          <t>Tên `代理店紹介F`, 36 tháng, bậc 1-100 = 5000</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TC-FEPL-020</t>
        </is>
      </c>
      <c r="C8" s="71" t="inlineStr">
        <is>
          <t>Luồng đăng ký</t>
        </is>
      </c>
      <c r="D8" s="63" t="inlineStr">
        <is>
          <t>Happy Path</t>
        </is>
      </c>
      <c r="E8" s="63" t="inlineStr">
        <is>
          <t>High</t>
        </is>
      </c>
      <c r="F8" s="63" t="inlineStr">
        <is>
          <t>AC-05</t>
        </is>
      </c>
      <c r="G8" s="63" t="inlineStr">
        <is>
          <t>Check đăng ký thành công gói phí với phương pháp tính là tỷ lệ trên số tiền yêu cầu thanh toán</t>
        </is>
      </c>
      <c r="H8" s="71" t="inlineStr">
        <is>
          <t>Đăng nhập bằng tài khoản có quyền Create, đang ở màn 紹介フィーマスタ登録</t>
        </is>
      </c>
      <c r="I8" s="71" t="inlineStr">
        <is>
          <t>1. Nhập フィープラン名 là `代理店紹介G`
2. Chọn 紹介元区分 là 代理店紹介
3. Chọn 支払区分 là 継続（永続）
4. Chọn 算定方法 là 請求額割合
5. Nhập フィー率（%） là `10`
6. Giữ 端数処理 là 切り捨て
7. Bấm nút 登録</t>
        </is>
      </c>
      <c r="J8" s="70" t="inlineStr">
        <is>
          <t>Hệ thống lưu thành công và quay về danh sách kèm toast hoàn tất. Dòng mới có フィー金額・率 hiển thị `10%`, 支払期間 hiển thị `永続`</t>
        </is>
      </c>
      <c r="K8" s="70" t="inlineStr">
        <is>
          <t>Tên `代理店紹介G`, tỷ lệ `10`</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TC-FEPL-021</t>
        </is>
      </c>
      <c r="C9" s="71" t="inlineStr">
        <is>
          <t>備考</t>
        </is>
      </c>
      <c r="D9" s="63" t="inlineStr">
        <is>
          <t>Behavior</t>
        </is>
      </c>
      <c r="E9" s="63" t="inlineStr">
        <is>
          <t>Low</t>
        </is>
      </c>
      <c r="F9" s="63" t="inlineStr">
        <is>
          <t>AC-05</t>
        </is>
      </c>
      <c r="G9" s="63" t="inlineStr">
        <is>
          <t>Check trường Ghi chú cho phép nhập nhiều dòng và giữ nguyên ký tự xuống dòng sau khi lưu</t>
        </is>
      </c>
      <c r="H9" s="71" t="inlineStr">
        <is>
          <t>Đang ở màn 紹介フィーマスタ登録, đã nhập đủ các trường bắt buộc</t>
        </is>
      </c>
      <c r="I9" s="63" t="inlineStr">
        <is>
          <t>1. Ở trường 備考 nhập dòng 1 là `テスト行1`, nhấn Enter, nhập dòng 2 là `テスト行2`
2. Bấm nút 登録
3. Mở lại gói phí vừa tạo ở màn chi tiết
4. Quan sát trường 備考</t>
        </is>
      </c>
      <c r="J9" s="70" t="inlineStr">
        <is>
          <t>Trường 備考 hiển thị đúng 2 dòng riêng biệt `テスト行1` và `テスト行2`, ký tự xuống dòng được giữ nguyên, không bị gộp thành 1 dòng</t>
        </is>
      </c>
      <c r="K9" s="70" t="inlineStr">
        <is>
          <t>`テスト行1` xuống dòng `テスト行2`</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TC-FEPL-022</t>
        </is>
      </c>
      <c r="C10" s="71" t="inlineStr">
        <is>
          <t>支払区分</t>
        </is>
      </c>
      <c r="D10" s="63" t="inlineStr">
        <is>
          <t>Logic</t>
        </is>
      </c>
      <c r="E10" s="63" t="inlineStr">
        <is>
          <t>High</t>
        </is>
      </c>
      <c r="F10" s="63" t="inlineStr">
        <is>
          <t>AC-05</t>
        </is>
      </c>
      <c r="G10" s="63" t="inlineStr">
        <is>
          <t>Check ô Kỳ hạn thanh toán bị vô hiệu hóa và xóa giá trị khi chọn phân loại thanh toán là một lần</t>
        </is>
      </c>
      <c r="H10" s="71" t="inlineStr">
        <is>
          <t>Đang ở màn 紹介フィーマスタ登録</t>
        </is>
      </c>
      <c r="I10" s="63" t="inlineStr">
        <is>
          <t>1. Chọn 支払区分 là 継続（ヶ月）
2. Nhập 支払い期間（ヶ月） là `36`
3. Chọn lại 支払区分 là 単発
4. Quan sát ô 支払い期間（ヶ月）</t>
        </is>
      </c>
      <c r="J10" s="70" t="inlineStr">
        <is>
          <t>Ô 支払い期間（ヶ月） bị vô hiệu hóa, hiển thị nền màu xám, không nhập được. Giá trị `36` đã nhập trước đó bị xóa, ô trở về trống</t>
        </is>
      </c>
      <c r="K10" s="70" t="inlineStr">
        <is>
          <t>Kỳ hạn `36`, đổi sang 単発</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TC-FEPL-023</t>
        </is>
      </c>
      <c r="C11" s="71" t="inlineStr">
        <is>
          <t>支払区分</t>
        </is>
      </c>
      <c r="D11" s="63" t="inlineStr">
        <is>
          <t>Logic</t>
        </is>
      </c>
      <c r="E11" s="63" t="inlineStr">
        <is>
          <t>High</t>
        </is>
      </c>
      <c r="F11" s="63" t="inlineStr">
        <is>
          <t>AC-05</t>
        </is>
      </c>
      <c r="G11" s="63" t="inlineStr">
        <is>
          <t>Check ô Kỳ hạn thanh toán bị vô hiệu hóa và xóa giá trị khi chọn phân loại thanh toán là liên tục vĩnh viễn</t>
        </is>
      </c>
      <c r="H11" s="71" t="inlineStr">
        <is>
          <t>Đang ở màn 紹介フィーマスタ登録</t>
        </is>
      </c>
      <c r="I11" s="63" t="inlineStr">
        <is>
          <t>1. Chọn 支払区分 là 継続（ヶ月）
2. Nhập 支払い期間（ヶ月） là `36`
3. Chọn lại 支払区分 là 継続（永続）
4. Quan sát ô 支払い期間（ヶ月）</t>
        </is>
      </c>
      <c r="J11" s="70" t="inlineStr">
        <is>
          <t>Ô 支払い期間（ヶ月） bị vô hiệu hóa nền xám và giá trị `36` bị xóa về trống</t>
        </is>
      </c>
      <c r="K11" s="70" t="inlineStr">
        <is>
          <t>Kỳ hạn `36`, đổi sang 継続（永続）</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TC-FEPL-024</t>
        </is>
      </c>
      <c r="C12" s="71" t="inlineStr">
        <is>
          <t>支払区分</t>
        </is>
      </c>
      <c r="D12" s="63" t="inlineStr">
        <is>
          <t>Logic</t>
        </is>
      </c>
      <c r="E12" s="63" t="inlineStr">
        <is>
          <t>High</t>
        </is>
      </c>
      <c r="F12" s="63" t="inlineStr">
        <is>
          <t>AC-05</t>
        </is>
      </c>
      <c r="G12" s="63" t="inlineStr">
        <is>
          <t>Check ô Kỳ hạn thanh toán được kích hoạt và trở thành bắt buộc khi chọn phân loại thanh toán là liên tục theo tháng</t>
        </is>
      </c>
      <c r="H12" s="71" t="inlineStr">
        <is>
          <t>Đang ở màn 紹介フィーマスタ登録, 支払区分 đang là 単発</t>
        </is>
      </c>
      <c r="I12" s="63" t="inlineStr">
        <is>
          <t>1. Chọn 支払区分 là 継続（ヶ月）
2. Quan sát ô 支払い期間（ヶ月）
3. Để trống ô này và bấm nút 登録</t>
        </is>
      </c>
      <c r="J12" s="70" t="inlineStr">
        <is>
          <t>Sau bước 2 ô 支払い期間（ヶ月） được kích hoạt, nhập được, có dấu hiệu bắt buộc. Sau bước 3 hệ thống chặn lưu và hiển thị inline error `Vui lòng nhập kỳ hạn thanh toán` ngay dưới ô</t>
        </is>
      </c>
      <c r="K12" s="70" t="inlineStr">
        <is>
          <t>Để trống kỳ hạn</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TC-FEPL-025</t>
        </is>
      </c>
      <c r="C13" s="71" t="inlineStr">
        <is>
          <t>算定方法</t>
        </is>
      </c>
      <c r="D13" s="63" t="inlineStr">
        <is>
          <t>Logic</t>
        </is>
      </c>
      <c r="E13" s="63" t="inlineStr">
        <is>
          <t>High</t>
        </is>
      </c>
      <c r="F13" s="63" t="inlineStr">
        <is>
          <t>AC-05</t>
        </is>
      </c>
      <c r="G13" s="63" t="inlineStr">
        <is>
          <t>Check chỉ panel số tiền cố định hiển thị khi chọn phương pháp tính là số tiền cố định</t>
        </is>
      </c>
      <c r="H13" s="71" t="inlineStr">
        <is>
          <t>Đang ở màn 紹介フィーマスタ登録</t>
        </is>
      </c>
      <c r="I13" s="63" t="inlineStr">
        <is>
          <t>1. Chọn 算定方法 là 固定額
2. Quan sát khu vực panel bên dưới</t>
        </is>
      </c>
      <c r="J13" s="70" t="inlineStr">
        <is>
          <t>Chỉ panel 2.4 固定額設定 hiển thị với badge 必須 ở góc phải trên panel và trường フィー金額（円）税込 bên trong. Panel 2.5 月次提供回の金額 và panel 2.6 請求額割合 đều không hiển thị</t>
        </is>
      </c>
      <c r="K13" s="70" t="inlineStr">
        <is>
          <t>—</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TC-FEPL-026</t>
        </is>
      </c>
      <c r="C14" s="71" t="inlineStr">
        <is>
          <t>算定方法</t>
        </is>
      </c>
      <c r="D14" s="63" t="inlineStr">
        <is>
          <t>Logic</t>
        </is>
      </c>
      <c r="E14" s="63" t="inlineStr">
        <is>
          <t>High</t>
        </is>
      </c>
      <c r="F14" s="63" t="inlineStr">
        <is>
          <t>AC-05</t>
        </is>
      </c>
      <c r="G14" s="63" t="inlineStr">
        <is>
          <t>Check chỉ panel số tiền theo lần cung cấp hàng tháng hiển thị khi chọn phương pháp tính tương ứng</t>
        </is>
      </c>
      <c r="H14" s="71" t="inlineStr">
        <is>
          <t>Đang ở màn 紹介フィーマスタ登録</t>
        </is>
      </c>
      <c r="I14" s="63" t="inlineStr">
        <is>
          <t>1. Chọn 算定方法 là 月次提供回の金額
2. Quan sát khu vực panel bên dưới</t>
        </is>
      </c>
      <c r="J14" s="70" t="inlineStr">
        <is>
          <t>Chỉ panel 2.5 hiển thị với badge 必須, bên trong là bảng bậc số lượng gồm các cột No, 下限, 上限, 紹介フィー金額（円）, icon xóa và nút 行を追加. Panel 2.4 và 2.6 không hiển thị</t>
        </is>
      </c>
      <c r="K14" s="70" t="inlineStr">
        <is>
          <t>—</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TC-FEPL-027</t>
        </is>
      </c>
      <c r="C15" s="71" t="inlineStr">
        <is>
          <t>算定方法</t>
        </is>
      </c>
      <c r="D15" s="63" t="inlineStr">
        <is>
          <t>Logic</t>
        </is>
      </c>
      <c r="E15" s="63" t="inlineStr">
        <is>
          <t>High</t>
        </is>
      </c>
      <c r="F15" s="63" t="inlineStr">
        <is>
          <t>AC-05, AMB-13</t>
        </is>
      </c>
      <c r="G15" s="63" t="inlineStr">
        <is>
          <t>Check chỉ panel tỷ lệ trên số tiền yêu cầu thanh toán hiển thị và tiêu đề panel đúng tên nghiệp vụ</t>
        </is>
      </c>
      <c r="H15" s="71" t="inlineStr">
        <is>
          <t>Đang ở màn 紹介フィーマスタ登録</t>
        </is>
      </c>
      <c r="I15" s="63" t="inlineStr">
        <is>
          <t>1. Chọn 算定方法 là 請求額割合
2. Quan sát tiêu đề của panel đang hiển thị
3. Quan sát các trường bên trong panel</t>
        </is>
      </c>
      <c r="J15" s="70" t="inlineStr">
        <is>
          <t>Chỉ panel 2.6 hiển thị, bên trong có フィー率（%） và 端数処理. Panel 2.4 và 2.5 không hiển thị. Tiêu đề panel phải là `請求額割合設定`. Ghi chú: mockup Figma hiện ghi sai thành `月次提供回の金額`, Figma tự đánh dấu là bug cần sửa — nếu sản phẩm hiển thị sai tiêu đề thì log bug</t>
        </is>
      </c>
      <c r="K15" s="70" t="inlineStr">
        <is>
          <t>—</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TC-FEPL-028</t>
        </is>
      </c>
      <c r="C16" s="71" t="inlineStr">
        <is>
          <t>算定方法</t>
        </is>
      </c>
      <c r="D16" s="63" t="inlineStr">
        <is>
          <t>Logic</t>
        </is>
      </c>
      <c r="E16" s="63" t="inlineStr">
        <is>
          <t>High</t>
        </is>
      </c>
      <c r="F16" s="63" t="inlineStr">
        <is>
          <t>AC-05</t>
        </is>
      </c>
      <c r="G16" s="63" t="inlineStr">
        <is>
          <t>Check giá trị của panel bị ẩn được xóa khi chuyển từ số tiền cố định sang tỷ lệ</t>
        </is>
      </c>
      <c r="H16" s="63" t="inlineStr">
        <is>
          <t>Đang ở màn 紹介フィーマスタ登録</t>
        </is>
      </c>
      <c r="I16" s="63" t="inlineStr">
        <is>
          <t>1. Chọn 算定方法 là 固定額
2. Nhập フィー金額（円）税込 là `33000`
3. Chọn 算定方法 là 請求額割合
4. Nhập フィー率（%） là `10`
5. Chọn lại 算定方法 là 固定額
6. Quan sát ô フィー金額（円）税込</t>
        </is>
      </c>
      <c r="J16" s="70" t="inlineStr">
        <is>
          <t>Sau bước 5 panel 2.4 hiển thị lại nhưng ô フィー金額（円）税込 ở trạng thái trống, giá trị `33000` nhập ở bước 2 đã bị xóa khi panel bị ẩn</t>
        </is>
      </c>
      <c r="K16" s="70" t="inlineStr">
        <is>
          <t>Số tiền `33000`, tỷ lệ `10`</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TC-FEPL-029</t>
        </is>
      </c>
      <c r="C17" s="71" t="inlineStr">
        <is>
          <t>算定方法</t>
        </is>
      </c>
      <c r="D17" s="63" t="inlineStr">
        <is>
          <t>Logic</t>
        </is>
      </c>
      <c r="E17" s="63" t="inlineStr">
        <is>
          <t>High</t>
        </is>
      </c>
      <c r="F17" s="63" t="inlineStr">
        <is>
          <t>AC-05</t>
        </is>
      </c>
      <c r="G17" s="63" t="inlineStr">
        <is>
          <t>Check giá trị bảng bậc số lượng bị xóa khi chuyển sang phương pháp tính khác rồi quay lại</t>
        </is>
      </c>
      <c r="H17" s="63" t="inlineStr">
        <is>
          <t>Đang ở màn 紹介フィーマスタ登録</t>
        </is>
      </c>
      <c r="I17" s="63" t="inlineStr">
        <is>
          <t>1. Chọn 算定方法 là 月次提供回の金額
2. Nhập dòng 1 với cận dưới `1`, cận trên `100`, số tiền `5000`
3. Chọn 算定方法 là 固定額
4. Chọn lại 算定方法 là 月次提供回の金額
5. Quan sát bảng bậc số lượng</t>
        </is>
      </c>
      <c r="J17" s="70" t="inlineStr">
        <is>
          <t>Bảng bậc số lượng trở về trạng thái ban đầu với 1 dòng trống, toàn bộ giá trị `1`, `100`, `5000` đã nhập ở bước 2 bị xóa</t>
        </is>
      </c>
      <c r="K17" s="70" t="inlineStr">
        <is>
          <t>Bậc 1-100 = 5000</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TC-FEPL-030</t>
        </is>
      </c>
      <c r="C18" s="71" t="inlineStr">
        <is>
          <t>Bảng bậc số lượng</t>
        </is>
      </c>
      <c r="D18" s="63" t="inlineStr">
        <is>
          <t>Logic</t>
        </is>
      </c>
      <c r="E18" s="63" t="inlineStr">
        <is>
          <t>High</t>
        </is>
      </c>
      <c r="F18" s="63" t="inlineStr">
        <is>
          <t>AC-05</t>
        </is>
      </c>
      <c r="G18" s="63" t="inlineStr">
        <is>
          <t>Check ô cận dưới của dòng mới được tự động điền bằng cận trên dòng trước cộng một</t>
        </is>
      </c>
      <c r="H18" s="63" t="inlineStr">
        <is>
          <t>Đang ở màn 紹介フィーマスタ登録, đã chọn 算定方法 là 月次提供回の金額</t>
        </is>
      </c>
      <c r="I18" s="63" t="inlineStr">
        <is>
          <t>1. Ở dòng 1 nhập cận dưới `1`, cận trên `100`, số tiền `5000`
2. Bấm nút 行を追加
3. Quan sát ô cận dưới của dòng vừa thêm</t>
        </is>
      </c>
      <c r="J18" s="70" t="inlineStr">
        <is>
          <t>Dòng mới được thêm vào **đầu** bảng. Ô cận dưới của dòng mới tự động điền giá trị `101` (bằng cận trên `100` của dòng trước cộng 1). Ô này vẫn cho phép sửa tay</t>
        </is>
      </c>
      <c r="K18" s="70" t="inlineStr">
        <is>
          <t>Dòng 1: 1-100 = 5000</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TC-FEPL-031</t>
        </is>
      </c>
      <c r="C19" s="71" t="inlineStr">
        <is>
          <t>Bảng bậc số lượng</t>
        </is>
      </c>
      <c r="D19" s="63" t="inlineStr">
        <is>
          <t>Logic</t>
        </is>
      </c>
      <c r="E19" s="63" t="inlineStr">
        <is>
          <t>High</t>
        </is>
      </c>
      <c r="F19" s="63" t="inlineStr">
        <is>
          <t>AC-05</t>
        </is>
      </c>
      <c r="G19" s="63" t="inlineStr">
        <is>
          <t>Check ô cận dưới của dòng mới để trống khi cận trên dòng trước chưa được nhập</t>
        </is>
      </c>
      <c r="H19" s="71" t="inlineStr">
        <is>
          <t>Đang ở màn 紹介フィーマスタ登録, đã chọn 算定方法 là 月次提供回の金額</t>
        </is>
      </c>
      <c r="I19" s="63" t="inlineStr">
        <is>
          <t>1. Ở dòng 1 nhập cận dưới `1`, để trống cận trên, nhập số tiền `5000`
2. Bấm nút 行を追加
3. Quan sát ô cận dưới của dòng vừa thêm</t>
        </is>
      </c>
      <c r="J19" s="70" t="inlineStr">
        <is>
          <t>Dòng mới được thêm với ô cận dưới ở trạng thái trống, hệ thống không tự điền giá trị nào vì không có căn cứ tính</t>
        </is>
      </c>
      <c r="K19" s="70" t="inlineStr">
        <is>
          <t>Dòng 1: cận dưới 1, cận trên trống</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TC-FEPL-032</t>
        </is>
      </c>
      <c r="C20" s="71" t="inlineStr">
        <is>
          <t>Bảng bậc số lượng</t>
        </is>
      </c>
      <c r="D20" s="63" t="inlineStr">
        <is>
          <t>Logic</t>
        </is>
      </c>
      <c r="E20" s="63" t="inlineStr">
        <is>
          <t>Medium</t>
        </is>
      </c>
      <c r="F20" s="63" t="inlineStr">
        <is>
          <t>AC-05</t>
        </is>
      </c>
      <c r="G20" s="63" t="inlineStr">
        <is>
          <t>Check số thứ tự các dòng được đánh lại từ một sau khi xóa một dòng ở giữa</t>
        </is>
      </c>
      <c r="H20" s="71" t="inlineStr">
        <is>
          <t>Đang ở màn 紹介フィーマスタ登録, bảng bậc số lượng đã có 3 dòng</t>
        </is>
      </c>
      <c r="I20" s="63" t="inlineStr">
        <is>
          <t>1. Quan sát cột No của 3 dòng, ghi nhận là 1, 2, 3
2. Bấm icon xóa ở dòng có No bằng 2
3. Xác nhận xóa ở popup
4. Quan sát lại cột No của các dòng còn lại</t>
        </is>
      </c>
      <c r="J20" s="70" t="inlineStr">
        <is>
          <t>Bảng còn 2 dòng, cột No được đánh lại thành 1 và 2 liên tục, không còn khoảng trống ở số 2</t>
        </is>
      </c>
      <c r="K20" s="70" t="inlineStr">
        <is>
          <t>3 dòng bậc</t>
        </is>
      </c>
      <c r="L20" s="70" t="inlineStr">
        <is>
          <t>Medium</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TC-FEPL-033</t>
        </is>
      </c>
      <c r="C21" s="71" t="inlineStr">
        <is>
          <t>Bảng bậc số lượng</t>
        </is>
      </c>
      <c r="D21" s="63" t="inlineStr">
        <is>
          <t>Logic</t>
        </is>
      </c>
      <c r="E21" s="63" t="inlineStr">
        <is>
          <t>High</t>
        </is>
      </c>
      <c r="F21" s="63" t="inlineStr">
        <is>
          <t>AC-05, E-020</t>
        </is>
      </c>
      <c r="G21" s="63" t="inlineStr">
        <is>
          <t>Check hệ thống chặn xóa khi bảng bậc số lượng chỉ còn duy nhất một dòng</t>
        </is>
      </c>
      <c r="H21" s="71" t="inlineStr">
        <is>
          <t>Đang ở màn 紹介フィーマスタ登録, đã chọn 算定方法 là 月次提供回の金額, bảng chỉ có 1 dòng</t>
        </is>
      </c>
      <c r="I21" s="63" t="inlineStr">
        <is>
          <t>1. Bấm icon xóa ở dòng duy nhất trong bảng</t>
        </is>
      </c>
      <c r="J21" s="70" t="inlineStr">
        <is>
          <t>Hệ thống không xóa dòng, hiển thị inline error `Cần tối thiểu 1 dòng`. Bảng vẫn giữ nguyên 1 dòng</t>
        </is>
      </c>
      <c r="K21" s="70" t="inlineStr">
        <is>
          <t>Bảng 1 dòng</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TC-FEPL-034</t>
        </is>
      </c>
      <c r="C22" s="71" t="inlineStr">
        <is>
          <t>Nút 登録</t>
        </is>
      </c>
      <c r="D22" s="63" t="inlineStr">
        <is>
          <t>Behavior</t>
        </is>
      </c>
      <c r="E22" s="63" t="inlineStr">
        <is>
          <t>High</t>
        </is>
      </c>
      <c r="F22" s="63" t="inlineStr">
        <is>
          <t>AC-02</t>
        </is>
      </c>
      <c r="G22" s="63" t="inlineStr">
        <is>
          <t>Check nút Đăng ký bị vô hiệu hóa trong lúc hệ thống đang xử lý lưu</t>
        </is>
      </c>
      <c r="H22" s="71" t="inlineStr">
        <is>
          <t>Đang ở màn 紹介フィーマスタ登録, đã nhập đủ trường bắt buộc</t>
        </is>
      </c>
      <c r="I22" s="63" t="inlineStr">
        <is>
          <t>1. Bấm nút 登録
2. Ngay lập tức bấm nút 登録 lần thứ hai trong khi hệ thống đang xử lý
3. Chờ hoàn tất, mở màn danh sách</t>
        </is>
      </c>
      <c r="J22" s="70" t="inlineStr">
        <is>
          <t>Sau bước 1 nút 登録 chuyển sang trạng thái vô hiệu hóa, không bấm được lần thứ hai. Danh sách chỉ có **một** bản ghi được tạo, không bị trùng lặp do double submit</t>
        </is>
      </c>
      <c r="K22" s="70" t="inlineStr">
        <is>
          <t>Tên `代理店紹介H`</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TC-FEPL-035</t>
        </is>
      </c>
      <c r="C23" s="71" t="inlineStr">
        <is>
          <t>Nút キャンセル</t>
        </is>
      </c>
      <c r="D23" s="63" t="inlineStr">
        <is>
          <t>Behavior</t>
        </is>
      </c>
      <c r="E23" s="63" t="inlineStr">
        <is>
          <t>Medium</t>
        </is>
      </c>
      <c r="F23" s="63" t="inlineStr">
        <is>
          <t>AC-02</t>
        </is>
      </c>
      <c r="G23" s="71" t="inlineStr">
        <is>
          <t>Check bấm Hủy khi chưa nhập gì thì chuyển thẳng về danh sách không hiện popup</t>
        </is>
      </c>
      <c r="H23" s="71" t="inlineStr">
        <is>
          <t>Đang ở màn 紹介フィーマスタ登録 vừa mở, chưa nhập hay thay đổi trường nào</t>
        </is>
      </c>
      <c r="I23" s="71" t="inlineStr">
        <is>
          <t>1. Bấm nút キャンセル</t>
        </is>
      </c>
      <c r="J23" s="70" t="inlineStr">
        <is>
          <t>Hệ thống chuyển thẳng về màn 紹介フィーマスタ danh sách, không hiển thị popup 編集破棄</t>
        </is>
      </c>
      <c r="K23" s="70" t="inlineStr">
        <is>
          <t>Không nhập gì</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TC-FEPL-036</t>
        </is>
      </c>
      <c r="C24" s="71" t="inlineStr">
        <is>
          <t>Nút キャンセル</t>
        </is>
      </c>
      <c r="D24" s="71" t="inlineStr">
        <is>
          <t>Behavior</t>
        </is>
      </c>
      <c r="E24" s="71" t="inlineStr">
        <is>
          <t>High</t>
        </is>
      </c>
      <c r="F24" s="71" t="inlineStr">
        <is>
          <t>AC-02</t>
        </is>
      </c>
      <c r="G24" s="71" t="inlineStr">
        <is>
          <t>Check bấm Hủy khi đã nhập dữ liệu thì hiện popup xác nhận hủy chỉnh sửa</t>
        </is>
      </c>
      <c r="H24" s="71" t="inlineStr">
        <is>
          <t>Đang ở màn 紹介フィーマスタ登録</t>
        </is>
      </c>
      <c r="I24" s="71" t="inlineStr">
        <is>
          <t>1. Nhập フィープラン名 là `テストキャンセル`
2. Bấm nút キャンセル</t>
        </is>
      </c>
      <c r="J24" s="70" t="inlineStr">
        <is>
          <t>Hệ thống hiển thị popup 編集破棄 với nội dung `Các nội dung đang chỉnh sửa sẽ không được lưu. Bạn có chắc chắn muốn hủy các nội dung chỉnh sửa không?` kèm 2 nút キャンセル và 廃棄. Màn đăng ký vẫn ở phía sau popup</t>
        </is>
      </c>
      <c r="K24" s="70" t="inlineStr">
        <is>
          <t>Tên `テストキャンセル`</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TC-FEPL-037</t>
        </is>
      </c>
      <c r="C25" s="71" t="inlineStr">
        <is>
          <t>Nút 登録</t>
        </is>
      </c>
      <c r="D25" s="71" t="inlineStr">
        <is>
          <t>Behavior</t>
        </is>
      </c>
      <c r="E25" s="71" t="inlineStr">
        <is>
          <t>Medium</t>
        </is>
      </c>
      <c r="F25" s="71" t="inlineStr">
        <is>
          <t>AC-01</t>
        </is>
      </c>
      <c r="G25" s="71" t="inlineStr">
        <is>
          <t>Check nút Đăng ký bị ẩn hoàn toàn khi tài khoản không có quyền Create</t>
        </is>
      </c>
      <c r="H25" s="71" t="inlineStr">
        <is>
          <t>Có tài khoản chỉ được cấp quyền Update</t>
        </is>
      </c>
      <c r="I25" s="71" t="inlineStr">
        <is>
          <t>1. Đăng nhập bằng `qc_admin_update@estest.local`
2. Truy cập thẳng URL màn 紹介フィーマスタ登録
3. Quan sát header màn hình</t>
        </is>
      </c>
      <c r="J25" s="70" t="inlineStr">
        <is>
          <t>Nút 登録 không hiển thị và không tồn tại trong DOM. Ngoài ra hệ thống phải chặn truy cập trực tiếp vào URL màn đăng ký đối với tài khoản không có quyền Create</t>
        </is>
      </c>
      <c r="K25" s="70" t="inlineStr">
        <is>
          <t>`qc_admin_update@estest.local`</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TC-FEPL-038</t>
        </is>
      </c>
      <c r="C26" s="70" t="inlineStr">
        <is>
          <t>Chuẩn hóa số</t>
        </is>
      </c>
      <c r="D26" s="70" t="inlineStr">
        <is>
          <t>Behavior</t>
        </is>
      </c>
      <c r="E26" s="70" t="inlineStr">
        <is>
          <t>Medium</t>
        </is>
      </c>
      <c r="F26" s="70" t="inlineStr">
        <is>
          <t>AC-05</t>
        </is>
      </c>
      <c r="G26" s="70" t="inlineStr">
        <is>
          <t>Check số toàn chiều rộng nhập vào ô số tiền phí được tự động chuyển sang nửa chiều rộng</t>
        </is>
      </c>
      <c r="H26" s="70" t="inlineStr">
        <is>
          <t>Đang ở màn 紹介フィーマスタ登録, 算定方法 là 固定額</t>
        </is>
      </c>
      <c r="I26" s="70" t="inlineStr">
        <is>
          <t>1. Ở ô フィー金額（円）税込 nhập chuỗi số toàn chiều rộng `３３０００`
2. Bấm ra ngoài ô để mất focus
3. Quan sát giá trị trong ô</t>
        </is>
      </c>
      <c r="J26" s="70" t="inlineStr">
        <is>
          <t>Giá trị được tự chuyển sang số nửa chiều rộng và hiển thị `33,000` với dấu phẩy phân cách 3 chữ số</t>
        </is>
      </c>
      <c r="K26" s="70" t="inlineStr">
        <is>
          <t>`３３０００`</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TC-FEPL-039</t>
        </is>
      </c>
      <c r="C27" s="70" t="inlineStr">
        <is>
          <t>Chuẩn hóa số</t>
        </is>
      </c>
      <c r="D27" s="70" t="inlineStr">
        <is>
          <t>Behavior</t>
        </is>
      </c>
      <c r="E27" s="70" t="inlineStr">
        <is>
          <t>Medium</t>
        </is>
      </c>
      <c r="F27" s="70" t="inlineStr">
        <is>
          <t>AC-05</t>
        </is>
      </c>
      <c r="G27" s="70" t="inlineStr">
        <is>
          <t>Check dấu phẩy phân cách được thêm khi mất focus và bỏ đi khi focus lại để chỉnh sửa</t>
        </is>
      </c>
      <c r="H27" s="70" t="inlineStr">
        <is>
          <t>Đang ở màn 紹介フィーマスタ登録, 算定方法 là 固定額</t>
        </is>
      </c>
      <c r="I27" s="70" t="inlineStr">
        <is>
          <t>1. Ở ô フィー金額（円）税込 nhập `33000`
2. Bấm ra ngoài ô để mất focus, quan sát
3. Bấm lại vào ô để focus, quan sát</t>
        </is>
      </c>
      <c r="J27" s="70" t="inlineStr">
        <is>
          <t>Sau bước 2 ô hiển thị `33,000` có dấu phẩy. Sau bước 3 dấu phẩy được bỏ đi, ô hiển thị `33000` để người dùng chỉnh sửa thuận tiện</t>
        </is>
      </c>
      <c r="K27" s="70" t="inlineStr">
        <is>
          <t>`33000`</t>
        </is>
      </c>
      <c r="L27" s="70" t="inlineStr">
        <is>
          <t>Medium</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TC-FEPL-040</t>
        </is>
      </c>
      <c r="C28" s="70" t="inlineStr">
        <is>
          <t>フィープラン名</t>
        </is>
      </c>
      <c r="D28" s="70" t="inlineStr">
        <is>
          <t>Validate</t>
        </is>
      </c>
      <c r="E28" s="70" t="inlineStr">
        <is>
          <t>High</t>
        </is>
      </c>
      <c r="F28" s="70" t="inlineStr">
        <is>
          <t>AC-05, E-002</t>
        </is>
      </c>
      <c r="G28" s="75" t="inlineStr">
        <is>
          <t>Check hệ thống báo lỗi khi để trống Tên gói phí và bấm Đăng ký</t>
        </is>
      </c>
      <c r="H28" s="70" t="inlineStr">
        <is>
          <t>Đang ở màn 紹介フィーマスタ登録</t>
        </is>
      </c>
      <c r="I28" s="70" t="inlineStr">
        <is>
          <t>1. Để trống ô フィープラン名
2. Nhập đủ các trường bắt buộc còn lại
3. Bấm nút 登録</t>
        </is>
      </c>
      <c r="J28" s="70" t="inlineStr">
        <is>
          <t>Hệ thống chặn lưu, hiển thị inline error ngay dưới ô フィープラン名 với nội dung `Vui lòng nhập tên gói phí`. Màn hình vẫn ở trang đăng ký, dữ liệu đã nhập được giữ nguyên</t>
        </is>
      </c>
      <c r="K28" s="70" t="inlineStr">
        <is>
          <t>Để trống tên</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TC-FEPL-041</t>
        </is>
      </c>
      <c r="C29" s="70" t="inlineStr">
        <is>
          <t>紹介元区分</t>
        </is>
      </c>
      <c r="D29" s="70" t="inlineStr">
        <is>
          <t>Validate</t>
        </is>
      </c>
      <c r="E29" s="70" t="inlineStr">
        <is>
          <t>High</t>
        </is>
      </c>
      <c r="F29" s="70" t="inlineStr">
        <is>
          <t>AC-05, E-003</t>
        </is>
      </c>
      <c r="G29" s="75" t="inlineStr">
        <is>
          <t>Check hệ thống báo lỗi khi không chọn Phân loại nguồn giới thiệu</t>
        </is>
      </c>
      <c r="H29" s="70" t="inlineStr">
        <is>
          <t>Đang ở màn 紹介フィーマスタ登録, đã bỏ chọn radio 紹介元区分 bằng cách reset form</t>
        </is>
      </c>
      <c r="I29" s="75" t="inlineStr">
        <is>
          <t>1. Bỏ chọn toàn bộ lựa chọn của 紹介元区分
2. Nhập đủ các trường bắt buộc còn lại
3. Bấm nút 登録</t>
        </is>
      </c>
      <c r="J29" s="70" t="inlineStr">
        <is>
          <t>Hệ thống chặn lưu, hiển thị inline error `Vui lòng chọn phân loại nguồn giới thiệu`</t>
        </is>
      </c>
      <c r="K29" s="70" t="inlineStr">
        <is>
          <t>Không chọn 紹介元区分</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TC-FEPL-042</t>
        </is>
      </c>
      <c r="C30" s="70" t="inlineStr">
        <is>
          <t>ステータス</t>
        </is>
      </c>
      <c r="D30" s="70" t="inlineStr">
        <is>
          <t>Validate</t>
        </is>
      </c>
      <c r="E30" s="70" t="inlineStr">
        <is>
          <t>High</t>
        </is>
      </c>
      <c r="F30" s="70" t="inlineStr">
        <is>
          <t>AC-05, E-004</t>
        </is>
      </c>
      <c r="G30" s="75" t="inlineStr">
        <is>
          <t>Check hệ thống báo lỗi khi không chọn Trạng thái</t>
        </is>
      </c>
      <c r="H30" s="70" t="inlineStr">
        <is>
          <t>Đang ở màn 紹介フィーマスタ登録, đã bỏ chọn radio ステータス</t>
        </is>
      </c>
      <c r="I30" s="75" t="inlineStr">
        <is>
          <t>1. Bỏ chọn toàn bộ lựa chọn của ステータス
2. Nhập đủ các trường bắt buộc còn lại
3. Bấm nút 登録</t>
        </is>
      </c>
      <c r="J30" s="75" t="inlineStr">
        <is>
          <t>Hệ thống chặn lưu, hiển thị inline error `Vui lòng chọn trạng thái`</t>
        </is>
      </c>
      <c r="K30" s="75" t="inlineStr">
        <is>
          <t>Không chọn ステータス</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TC-FEPL-043</t>
        </is>
      </c>
      <c r="C31" s="74" t="inlineStr">
        <is>
          <t>支払区分</t>
        </is>
      </c>
      <c r="D31" s="70" t="inlineStr">
        <is>
          <t>Validate</t>
        </is>
      </c>
      <c r="E31" s="70" t="inlineStr">
        <is>
          <t>High</t>
        </is>
      </c>
      <c r="F31" s="70" t="inlineStr">
        <is>
          <t>AC-05, E-005</t>
        </is>
      </c>
      <c r="G31" s="70" t="inlineStr">
        <is>
          <t>Check hệ thống báo lỗi khi không chọn Phân loại thanh toán</t>
        </is>
      </c>
      <c r="H31" s="70" t="inlineStr">
        <is>
          <t>Đang ở màn 紹介フィーマスタ登録, đã bỏ chọn radio 支払区分</t>
        </is>
      </c>
      <c r="I31" s="70" t="inlineStr">
        <is>
          <t>1. Bỏ chọn toàn bộ lựa chọn của 支払区分
2. Nhập đủ các trường bắt buộc còn lại
3. Bấm nút 登録</t>
        </is>
      </c>
      <c r="J31" s="70" t="inlineStr">
        <is>
          <t>Hệ thống chặn lưu, hiển thị inline error `Vui lòng chọn phân loại thanh toán`</t>
        </is>
      </c>
      <c r="K31" s="70" t="inlineStr">
        <is>
          <t>Không chọn 支払区分</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TC-FEPL-044</t>
        </is>
      </c>
      <c r="C32" s="74" t="inlineStr">
        <is>
          <t>支払い期間</t>
        </is>
      </c>
      <c r="D32" s="70" t="inlineStr">
        <is>
          <t>Validate</t>
        </is>
      </c>
      <c r="E32" s="70" t="inlineStr">
        <is>
          <t>High</t>
        </is>
      </c>
      <c r="F32" s="70" t="inlineStr">
        <is>
          <t>AC-05, E-006</t>
        </is>
      </c>
      <c r="G32" s="70" t="inlineStr">
        <is>
          <t>Check hệ thống báo lỗi khi để trống Kỳ hạn thanh toán trong trường hợp chọn liên tục theo tháng</t>
        </is>
      </c>
      <c r="H32" s="70" t="inlineStr">
        <is>
          <t>Đang ở màn 紹介フィーマスタ登録</t>
        </is>
      </c>
      <c r="I32" s="70" t="inlineStr">
        <is>
          <t>1. Chọn 支払区分 là 継続（ヶ月）
2. Để trống ô 支払い期間（ヶ月）
3. Nhập đủ các trường bắt buộc còn lại
4. Bấm nút 登録</t>
        </is>
      </c>
      <c r="J32" s="70" t="inlineStr">
        <is>
          <t>Hệ thống chặn lưu, hiển thị inline error `Vui lòng nhập kỳ hạn thanh toán` ngay dưới ô 支払い期間</t>
        </is>
      </c>
      <c r="K32" s="70" t="inlineStr">
        <is>
          <t>支払区分 = 継続（ヶ月）, kỳ hạn trống</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TC-FEPL-045</t>
        </is>
      </c>
      <c r="C33" s="74" t="inlineStr">
        <is>
          <t>算定方法</t>
        </is>
      </c>
      <c r="D33" s="70" t="inlineStr">
        <is>
          <t>Validate</t>
        </is>
      </c>
      <c r="E33" s="70" t="inlineStr">
        <is>
          <t>High</t>
        </is>
      </c>
      <c r="F33" s="70" t="inlineStr">
        <is>
          <t>AC-05, E-007</t>
        </is>
      </c>
      <c r="G33" s="75" t="inlineStr">
        <is>
          <t>Check hệ thống báo lỗi khi không chọn Phương pháp tính</t>
        </is>
      </c>
      <c r="H33" s="70" t="inlineStr">
        <is>
          <t>Đang ở màn 紹介フィーマスタ登録, đã bỏ chọn radio 算定方法</t>
        </is>
      </c>
      <c r="I33" s="75" t="inlineStr">
        <is>
          <t>1. Bỏ chọn toàn bộ lựa chọn của 算定方法
2. Nhập đủ các trường bắt buộc còn lại
3. Bấm nút 登録</t>
        </is>
      </c>
      <c r="J33" s="70" t="inlineStr">
        <is>
          <t>Hệ thống chặn lưu, hiển thị inline error `Vui lòng chọn phương pháp tính`</t>
        </is>
      </c>
      <c r="K33" s="70" t="inlineStr">
        <is>
          <t>Không chọn 算定方法</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TC-FEPL-046</t>
        </is>
      </c>
      <c r="C34" s="74" t="inlineStr">
        <is>
          <t>フィー金額</t>
        </is>
      </c>
      <c r="D34" s="70" t="inlineStr">
        <is>
          <t>Validate</t>
        </is>
      </c>
      <c r="E34" s="70" t="inlineStr">
        <is>
          <t>High</t>
        </is>
      </c>
      <c r="F34" s="70" t="inlineStr">
        <is>
          <t>AC-05, E-008</t>
        </is>
      </c>
      <c r="G34" s="75" t="inlineStr">
        <is>
          <t>Check hệ thống báo lỗi khi để trống Số tiền phí trong panel số tiền cố định</t>
        </is>
      </c>
      <c r="H34" s="70" t="inlineStr">
        <is>
          <t>Đang ở màn 紹介フィーマスタ登録, đã chọn 算定方法 là 固定額</t>
        </is>
      </c>
      <c r="I34" s="75" t="inlineStr">
        <is>
          <t>1. Để trống ô フィー金額（円）税込
2. Nhập đủ các trường bắt buộc còn lại
3. Bấm nút 登録</t>
        </is>
      </c>
      <c r="J34" s="70" t="inlineStr">
        <is>
          <t>Hệ thống chặn lưu, hiển thị inline error `Vui lòng nhập số tiền phí`</t>
        </is>
      </c>
      <c r="K34" s="70" t="inlineStr">
        <is>
          <t>Để trống số tiền</t>
        </is>
      </c>
      <c r="L34" s="70" t="inlineStr">
        <is>
          <t>High</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TC-FEPL-047</t>
        </is>
      </c>
      <c r="C35" s="70" t="inlineStr">
        <is>
          <t>フィー金額</t>
        </is>
      </c>
      <c r="D35" s="70" t="inlineStr">
        <is>
          <t>Validate</t>
        </is>
      </c>
      <c r="E35" s="70" t="inlineStr">
        <is>
          <t>High</t>
        </is>
      </c>
      <c r="F35" s="70" t="inlineStr">
        <is>
          <t>AC-05, E-009</t>
        </is>
      </c>
      <c r="G35" s="75" t="inlineStr">
        <is>
          <t>Check hệ thống báo lỗi khi Số tiền phí vượt quá bảy chữ số</t>
        </is>
      </c>
      <c r="H35" s="70" t="inlineStr">
        <is>
          <t>Đang ở màn 紹介フィーマスタ登録, đã chọn 算定方法 là 固定額</t>
        </is>
      </c>
      <c r="I35" s="75" t="inlineStr">
        <is>
          <t>1. Nhập ô フィー金額（円）税込 giá trị `12345678` gồm 8 chữ số
2. Nhập đủ các trường bắt buộc còn lại
3. Bấm nút 登録</t>
        </is>
      </c>
      <c r="J35" s="75" t="inlineStr">
        <is>
          <t>Hệ thống chặn lưu, hiển thị inline error `Vui lòng nhập số tiền phí bằng số half-width, tối đa 7 chữ số.`</t>
        </is>
      </c>
      <c r="K35" s="75" t="inlineStr">
        <is>
          <t>`12345678`</t>
        </is>
      </c>
      <c r="L35" s="75" t="inlineStr">
        <is>
          <t>High</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TC-FEPL-048</t>
        </is>
      </c>
      <c r="C36" s="70" t="inlineStr">
        <is>
          <t>フィー金額</t>
        </is>
      </c>
      <c r="D36" s="70" t="inlineStr">
        <is>
          <t>Validate</t>
        </is>
      </c>
      <c r="E36" s="70" t="inlineStr">
        <is>
          <t>High</t>
        </is>
      </c>
      <c r="F36" s="70" t="inlineStr">
        <is>
          <t>AC-05, E-009</t>
        </is>
      </c>
      <c r="G36" s="75" t="inlineStr">
        <is>
          <t>Check hệ thống báo lỗi khi Số tiền phí chứa ký tự không phải số</t>
        </is>
      </c>
      <c r="H36" s="75" t="inlineStr">
        <is>
          <t>Đang ở màn 紹介フィーマスタ登録, đã chọn 算定方法 là 固定額</t>
        </is>
      </c>
      <c r="I36" s="75" t="inlineStr">
        <is>
          <t>1. Nhập ô フィー金額（円）税込 giá trị `abc123`
2. Nhập đủ các trường bắt buộc còn lại
3. Bấm nút 登録</t>
        </is>
      </c>
      <c r="J36" s="75" t="inlineStr">
        <is>
          <t>Hệ thống chặn lưu, hiển thị inline error `Vui lòng nhập số tiền phí bằng số half-width, tối đa 7 chữ số.`</t>
        </is>
      </c>
      <c r="K36" s="75" t="inlineStr">
        <is>
          <t>`abc123`</t>
        </is>
      </c>
      <c r="L36" s="75" t="inlineStr">
        <is>
          <t>High</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TC-FEPL-049</t>
        </is>
      </c>
      <c r="C37" s="70" t="inlineStr">
        <is>
          <t>フィー金額</t>
        </is>
      </c>
      <c r="D37" s="70" t="inlineStr">
        <is>
          <t>Validate</t>
        </is>
      </c>
      <c r="E37" s="70" t="inlineStr">
        <is>
          <t>Medium</t>
        </is>
      </c>
      <c r="F37" s="70" t="inlineStr">
        <is>
          <t>AC-05</t>
        </is>
      </c>
      <c r="G37" s="75" t="inlineStr">
        <is>
          <t>Check hệ thống chấp nhận Số tiền phí đúng bảy chữ số là giá trị biên trên hợp lệ</t>
        </is>
      </c>
      <c r="H37" s="75" t="inlineStr">
        <is>
          <t>Đang ở màn 紹介フィーマスタ登録, đã chọn 算定方法 là 固定額</t>
        </is>
      </c>
      <c r="I37" s="75" t="inlineStr">
        <is>
          <t>1. Nhập ô フィー金額（円）税込 giá trị `9999999` gồm 7 chữ số
2. Nhập đủ các trường bắt buộc còn lại
3. Bấm nút 登録</t>
        </is>
      </c>
      <c r="J37" s="75" t="inlineStr">
        <is>
          <t>Hệ thống lưu thành công, quay về danh sách kèm toast hoàn tất. Cột フィー金額・率 của dòng mới hiển thị `9,999,999円`</t>
        </is>
      </c>
      <c r="K37" s="75" t="inlineStr">
        <is>
          <t>`9999999`</t>
        </is>
      </c>
      <c r="L37" s="75" t="inlineStr">
        <is>
          <t>High</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TC-FEPL-050</t>
        </is>
      </c>
      <c r="C38" s="70" t="inlineStr">
        <is>
          <t>Bảng bậc số lượng</t>
        </is>
      </c>
      <c r="D38" s="70" t="inlineStr">
        <is>
          <t>Validate</t>
        </is>
      </c>
      <c r="E38" s="70" t="inlineStr">
        <is>
          <t>High</t>
        </is>
      </c>
      <c r="F38" s="70" t="inlineStr">
        <is>
          <t>AC-05, E-010</t>
        </is>
      </c>
      <c r="G38" s="75" t="inlineStr">
        <is>
          <t>Check hệ thống báo lỗi khi bảng bậc số lượng không có dòng hợp lệ nào</t>
        </is>
      </c>
      <c r="H38" s="70" t="inlineStr">
        <is>
          <t>Đang ở màn 紹介フィーマスタ登録, đã chọn 算定方法 là 月次提供回の金額</t>
        </is>
      </c>
      <c r="I38" s="75" t="inlineStr">
        <is>
          <t>1. Để trống toàn bộ ô của dòng duy nhất trong bảng bậc
2. Nhập đủ các trường bắt buộc còn lại
3. Bấm nút 登録</t>
        </is>
      </c>
      <c r="J38" s="75" t="inlineStr">
        <is>
          <t>Hệ thống chặn lưu, hiển thị inline error `Vui lòng nhập ít nhất 1 dòng cho Số tiền theo lần cung cấp hàng tháng`</t>
        </is>
      </c>
      <c r="K38" s="75" t="inlineStr">
        <is>
          <t>Bảng bậc trống</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TC-FEPL-051</t>
        </is>
      </c>
      <c r="C39" s="70" t="inlineStr">
        <is>
          <t>Cận dưới</t>
        </is>
      </c>
      <c r="D39" s="70" t="inlineStr">
        <is>
          <t>Validate</t>
        </is>
      </c>
      <c r="E39" s="70" t="inlineStr">
        <is>
          <t>High</t>
        </is>
      </c>
      <c r="F39" s="70" t="inlineStr">
        <is>
          <t>AC-05, E-011</t>
        </is>
      </c>
      <c r="G39" s="75" t="inlineStr">
        <is>
          <t>Check hệ thống báo lỗi khi để trống cận dưới của bậc số lượng</t>
        </is>
      </c>
      <c r="H39" s="70" t="inlineStr">
        <is>
          <t>Đang ở màn 紹介フィーマスタ登録, đã chọn 算定方法 là 月次提供回の金額</t>
        </is>
      </c>
      <c r="I39" s="75" t="inlineStr">
        <is>
          <t>1. Ở dòng 1 để trống ô cận dưới, nhập cận trên `100`, số tiền `5000`
2. Nhập đủ các trường bắt buộc còn lại
3. Bấm nút 登録</t>
        </is>
      </c>
      <c r="J39" s="75" t="inlineStr">
        <is>
          <t>Hệ thống chặn lưu, hiển thị inline error `Vui lòng nhập số lượng cung cấp hàng tháng (cận dưới)`</t>
        </is>
      </c>
      <c r="K39" s="75" t="inlineStr">
        <is>
          <t>Cận dưới trống, cận trên 100</t>
        </is>
      </c>
      <c r="L39" s="75" t="inlineStr">
        <is>
          <t>High</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TC-FEPL-052</t>
        </is>
      </c>
      <c r="C40" s="74" t="inlineStr">
        <is>
          <t>Cận dưới</t>
        </is>
      </c>
      <c r="D40" s="70" t="inlineStr">
        <is>
          <t>Validate</t>
        </is>
      </c>
      <c r="E40" s="70" t="inlineStr">
        <is>
          <t>High</t>
        </is>
      </c>
      <c r="F40" s="70" t="inlineStr">
        <is>
          <t>AC-05, E-012</t>
        </is>
      </c>
      <c r="G40" s="75" t="inlineStr">
        <is>
          <t>Check hệ thống báo lỗi khi cận dưới vượt quá bảy chữ số</t>
        </is>
      </c>
      <c r="H40" s="70" t="inlineStr">
        <is>
          <t>Đang ở màn 紹介フィーマスタ登録, đã chọn 算定方法 là 月次提供回の金額</t>
        </is>
      </c>
      <c r="I40" s="70" t="inlineStr">
        <is>
          <t>1. Ở dòng 1 nhập cận dưới `12345678` gồm 8 chữ số, cận trên để trống, số tiền `5000`
2. Bấm nút 登録</t>
        </is>
      </c>
      <c r="J40" s="75" t="inlineStr">
        <is>
          <t>Hệ thống chặn lưu, hiển thị inline error `Vui lòng nhập số lượng cung cấp (cận dưới) bằng số half-width, tối đa 7 chữ số.`</t>
        </is>
      </c>
      <c r="K40" s="75" t="inlineStr">
        <is>
          <t>`12345678`</t>
        </is>
      </c>
      <c r="L40" s="75" t="inlineStr">
        <is>
          <t>High</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TC-FEPL-053</t>
        </is>
      </c>
      <c r="C41" s="74" t="inlineStr">
        <is>
          <t>Cận trên</t>
        </is>
      </c>
      <c r="D41" s="70" t="inlineStr">
        <is>
          <t>Validate</t>
        </is>
      </c>
      <c r="E41" s="70" t="inlineStr">
        <is>
          <t>High</t>
        </is>
      </c>
      <c r="F41" s="70" t="inlineStr">
        <is>
          <t>AC-05, E-013</t>
        </is>
      </c>
      <c r="G41" s="70" t="inlineStr">
        <is>
          <t>Check hệ thống báo lỗi khi cận trên nhỏ hơn cận dưới</t>
        </is>
      </c>
      <c r="H41" s="70" t="inlineStr">
        <is>
          <t>Đang ở màn 紹介フィーマスタ登録, đã chọn 算定方法 là 月次提供回の金額</t>
        </is>
      </c>
      <c r="I41" s="70" t="inlineStr">
        <is>
          <t>1. Ở dòng 1 nhập cận dưới `100`, cận trên `50`, số tiền `5000`
2. Bấm nút 登録</t>
        </is>
      </c>
      <c r="J41" s="70" t="inlineStr">
        <is>
          <t>Hệ thống chặn lưu, hiển thị inline error `Vui lòng nhập cận trên lớn hơn hoặc bằng cận dưới`</t>
        </is>
      </c>
      <c r="K41" s="70" t="inlineStr">
        <is>
          <t>Cận dưới 100, cận trên 50</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TC-FEPL-054</t>
        </is>
      </c>
      <c r="C42" s="74" t="inlineStr">
        <is>
          <t>Cận trên</t>
        </is>
      </c>
      <c r="D42" s="70" t="inlineStr">
        <is>
          <t>Validate</t>
        </is>
      </c>
      <c r="E42" s="70" t="inlineStr">
        <is>
          <t>Medium</t>
        </is>
      </c>
      <c r="F42" s="70" t="inlineStr">
        <is>
          <t>AC-05</t>
        </is>
      </c>
      <c r="G42" s="75" t="inlineStr">
        <is>
          <t>Check hệ thống chấp nhận cận trên bằng đúng cận dưới là giá trị biên hợp lệ</t>
        </is>
      </c>
      <c r="H42" s="70" t="inlineStr">
        <is>
          <t>Đang ở màn 紹介フィーマスタ登録, đã chọn 算定方法 là 月次提供回の金額</t>
        </is>
      </c>
      <c r="I42" s="70" t="inlineStr">
        <is>
          <t>1. Ở dòng 1 nhập cận dưới `100`, cận trên `100`, số tiền `5000`
2. Nhập đủ các trường bắt buộc còn lại
3. Bấm nút 登録</t>
        </is>
      </c>
      <c r="J42" s="70" t="inlineStr">
        <is>
          <t>Hệ thống lưu thành công, không hiển thị lỗi nào ở bảng bậc số lượng</t>
        </is>
      </c>
      <c r="K42" s="70" t="inlineStr">
        <is>
          <t>Cận dưới 100, cận trên 100</t>
        </is>
      </c>
      <c r="L42" s="70" t="inlineStr">
        <is>
          <t>High</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TC-FEPL-055</t>
        </is>
      </c>
      <c r="C43" s="74" t="inlineStr">
        <is>
          <t>Cận trên</t>
        </is>
      </c>
      <c r="D43" s="70" t="inlineStr">
        <is>
          <t>Validate</t>
        </is>
      </c>
      <c r="E43" s="70" t="inlineStr">
        <is>
          <t>High</t>
        </is>
      </c>
      <c r="F43" s="70" t="inlineStr">
        <is>
          <t>AC-05, E-014</t>
        </is>
      </c>
      <c r="G43" s="75" t="inlineStr">
        <is>
          <t>Check hệ thống báo lỗi khi để trống cận trên ở dòng không phải dòng cuối cùng</t>
        </is>
      </c>
      <c r="H43" s="70" t="inlineStr">
        <is>
          <t>Đang ở màn 紹介フィーマスタ登録, đã chọn 算定方法 là 月次提供回の金額, bảng có 2 dòng</t>
        </is>
      </c>
      <c r="I43" s="75" t="inlineStr">
        <is>
          <t>1. Ở dòng 1 nhập cận dưới `1`, để trống cận trên, số tiền `5000`
2. Ở dòng 2 nhập cận dưới `101`, cận trên `500`, số tiền `12000`
3. Bấm nút 登録</t>
        </is>
      </c>
      <c r="J43" s="70" t="inlineStr">
        <is>
          <t>Hệ thống chặn lưu, hiển thị inline error `Vui lòng nhập cận trên cho các dòng không phải dòng cuối` tại dòng 1</t>
        </is>
      </c>
      <c r="K43" s="70" t="inlineStr">
        <is>
          <t>Dòng 1 cận trên trống, có dòng 2</t>
        </is>
      </c>
      <c r="L43" s="70" t="inlineStr">
        <is>
          <t>High</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TC-FEPL-056</t>
        </is>
      </c>
      <c r="C44" s="74" t="inlineStr">
        <is>
          <t>Cận trên</t>
        </is>
      </c>
      <c r="D44" s="70" t="inlineStr">
        <is>
          <t>Validate</t>
        </is>
      </c>
      <c r="E44" s="70" t="inlineStr">
        <is>
          <t>Medium</t>
        </is>
      </c>
      <c r="F44" s="70" t="inlineStr">
        <is>
          <t>AC-05</t>
        </is>
      </c>
      <c r="G44" s="75" t="inlineStr">
        <is>
          <t>Check hệ thống chấp nhận để trống cận trên ở dòng cuối cùng mang nghĩa không giới hạn trên</t>
        </is>
      </c>
      <c r="H44" s="70" t="inlineStr">
        <is>
          <t>Đang ở màn 紹介フィーマスタ登録, đã chọn 算定方法 là 月次提供回の金額, bảng có 2 dòng</t>
        </is>
      </c>
      <c r="I44" s="75" t="inlineStr">
        <is>
          <t>1. Ở dòng 1 nhập cận dưới `1`, cận trên `100`, số tiền `5000`
2. Ở dòng 2 là dòng cuối nhập cận dưới `101`, để trống cận trên, số tiền `25000`
3. Bấm nút 登録</t>
        </is>
      </c>
      <c r="J44" s="75" t="inlineStr">
        <is>
          <t>Hệ thống lưu thành công, không báo lỗi. Bậc cuối được hiểu là từ 101 trở lên không giới hạn</t>
        </is>
      </c>
      <c r="K44" s="75" t="inlineStr">
        <is>
          <t>Dòng cuối cận trên trống</t>
        </is>
      </c>
      <c r="L44" s="75" t="inlineStr">
        <is>
          <t>High</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TC-FEPL-057</t>
        </is>
      </c>
      <c r="C45" s="76" t="inlineStr">
        <is>
          <t>Cận trên</t>
        </is>
      </c>
      <c r="D45" s="70" t="inlineStr">
        <is>
          <t>Validate</t>
        </is>
      </c>
      <c r="E45" s="70" t="inlineStr">
        <is>
          <t>Medium</t>
        </is>
      </c>
      <c r="F45" s="70" t="inlineStr">
        <is>
          <t>AC-05, E-015</t>
        </is>
      </c>
      <c r="G45" s="75" t="inlineStr">
        <is>
          <t>Check hệ thống báo lỗi khi cận trên vượt quá bảy chữ số</t>
        </is>
      </c>
      <c r="H45" s="70" t="inlineStr">
        <is>
          <t>Đang ở màn 紹介フィーマスタ登録, đã chọn 算定方法 là 月次提供回の金額</t>
        </is>
      </c>
      <c r="I45" s="75" t="inlineStr">
        <is>
          <t>1. Ở dòng 1 nhập cận dưới `1`, cận trên `12345678` gồm 8 chữ số, số tiền `5000`
2. Bấm nút 登録</t>
        </is>
      </c>
      <c r="J45" s="75" t="inlineStr">
        <is>
          <t>Hệ thống chặn lưu, hiển thị inline error `Vui lòng nhập cận trên bằng số half-width, tối đa 7 chữ số.`</t>
        </is>
      </c>
      <c r="K45" s="75" t="inlineStr">
        <is>
          <t>Cận trên `12345678`</t>
        </is>
      </c>
      <c r="L45" s="75" t="inlineStr">
        <is>
          <t>Medium</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TC-FEPL-058</t>
        </is>
      </c>
      <c r="C46" s="74" t="inlineStr">
        <is>
          <t>紹介フィー金額</t>
        </is>
      </c>
      <c r="D46" s="70" t="inlineStr">
        <is>
          <t>Validate</t>
        </is>
      </c>
      <c r="E46" s="70" t="inlineStr">
        <is>
          <t>High</t>
        </is>
      </c>
      <c r="F46" s="70" t="inlineStr">
        <is>
          <t>AC-05, E-016</t>
        </is>
      </c>
      <c r="G46" s="75" t="inlineStr">
        <is>
          <t>Check hệ thống báo lỗi khi để trống Số tiền phí giới thiệu trong bảng bậc</t>
        </is>
      </c>
      <c r="H46" s="70" t="inlineStr">
        <is>
          <t>Đang ở màn 紹介フィーマスタ登録, đã chọn 算定方法 là 月次提供回の金額</t>
        </is>
      </c>
      <c r="I46" s="75" t="inlineStr">
        <is>
          <t>1. Ở dòng 1 nhập cận dưới `1`, cận trên `100`, để trống ô số tiền
2. Bấm nút 登録</t>
        </is>
      </c>
      <c r="J46" s="75" t="inlineStr">
        <is>
          <t>Hệ thống chặn lưu, hiển thị inline error `Vui lòng nhập số tiền phí giới thiệu`</t>
        </is>
      </c>
      <c r="K46" s="75" t="inlineStr">
        <is>
          <t>Số tiền bậc trống</t>
        </is>
      </c>
      <c r="L46" s="75" t="inlineStr">
        <is>
          <t>High</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TC-FEPL-059</t>
        </is>
      </c>
      <c r="C47" s="74" t="inlineStr">
        <is>
          <t>紹介フィー金額</t>
        </is>
      </c>
      <c r="D47" s="70" t="inlineStr">
        <is>
          <t>Validate</t>
        </is>
      </c>
      <c r="E47" s="70" t="inlineStr">
        <is>
          <t>Medium</t>
        </is>
      </c>
      <c r="F47" s="70" t="inlineStr">
        <is>
          <t>AC-05, E-017</t>
        </is>
      </c>
      <c r="G47" s="75" t="inlineStr">
        <is>
          <t>Check hệ thống báo lỗi khi Số tiền phí giới thiệu trong bảng bậc sai định dạng</t>
        </is>
      </c>
      <c r="H47" s="75" t="inlineStr">
        <is>
          <t>Đang ở màn 紹介フィーマスタ登録, đã chọn 算定方法 là 月次提供回の金額</t>
        </is>
      </c>
      <c r="I47" s="75" t="inlineStr">
        <is>
          <t>1. Ở dòng 1 nhập cận dưới `1`, cận trên `100`, số tiền `12345678` gồm 8 chữ số
2. Bấm nút 登録</t>
        </is>
      </c>
      <c r="J47" s="75" t="inlineStr">
        <is>
          <t>Hệ thống chặn lưu, hiển thị inline error `Vui lòng nhập số tiền phí giới thiệu bằng số half-width, tối đa 7 chữ số.`</t>
        </is>
      </c>
      <c r="K47" s="75" t="inlineStr">
        <is>
          <t>Số tiền `12345678`</t>
        </is>
      </c>
      <c r="L47" s="75" t="inlineStr">
        <is>
          <t>Medium</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TC-FEPL-060</t>
        </is>
      </c>
      <c r="C48" s="74" t="inlineStr">
        <is>
          <t>フィー率</t>
        </is>
      </c>
      <c r="D48" s="70" t="inlineStr">
        <is>
          <t>Validate</t>
        </is>
      </c>
      <c r="E48" s="70" t="inlineStr">
        <is>
          <t>High</t>
        </is>
      </c>
      <c r="F48" s="70" t="inlineStr">
        <is>
          <t>AC-05, E-018</t>
        </is>
      </c>
      <c r="G48" s="75" t="inlineStr">
        <is>
          <t>Check hệ thống báo lỗi khi để trống Tỷ lệ phí trong panel tỷ lệ</t>
        </is>
      </c>
      <c r="H48" s="75" t="inlineStr">
        <is>
          <t>Đang ở màn 紹介フィーマスタ登録, đã chọn 算定方法 là 請求額割合</t>
        </is>
      </c>
      <c r="I48" s="75" t="inlineStr">
        <is>
          <t>1. Để trống ô フィー率（%）
2. Nhập đủ các trường bắt buộc còn lại
3. Bấm nút 登録</t>
        </is>
      </c>
      <c r="J48" s="75" t="inlineStr">
        <is>
          <t>Hệ thống chặn lưu, hiển thị inline error `Vui lòng nhập tỷ lệ phí`</t>
        </is>
      </c>
      <c r="K48" s="75" t="inlineStr">
        <is>
          <t>Tỷ lệ trống</t>
        </is>
      </c>
      <c r="L48" s="75" t="inlineStr">
        <is>
          <t>High</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TC-FEPL-061</t>
        </is>
      </c>
      <c r="C49" s="74" t="inlineStr">
        <is>
          <t>端数処理</t>
        </is>
      </c>
      <c r="D49" s="70" t="inlineStr">
        <is>
          <t>Validate</t>
        </is>
      </c>
      <c r="E49" s="70" t="inlineStr">
        <is>
          <t>High</t>
        </is>
      </c>
      <c r="F49" s="70" t="inlineStr">
        <is>
          <t>AC-05, E-019</t>
        </is>
      </c>
      <c r="G49" s="75" t="inlineStr">
        <is>
          <t>Check hệ thống báo lỗi khi không chọn Xử lý số lẻ trong panel tỷ lệ</t>
        </is>
      </c>
      <c r="H49" s="70" t="inlineStr">
        <is>
          <t>Đang ở màn 紹介フィーマスタ登録, đã chọn 算定方法 là 請求額割合, đã bỏ chọn radio 端数処理</t>
        </is>
      </c>
      <c r="I49" s="75" t="inlineStr">
        <is>
          <t>1. Nhập フィー率（%） là `10`
2. Bỏ chọn toàn bộ lựa chọn của 端数処理
3. Bấm nút 登録</t>
        </is>
      </c>
      <c r="J49" s="75" t="inlineStr">
        <is>
          <t>Hệ thống chặn lưu, hiển thị inline error `Vui lòng chọn xử lý số lẻ`</t>
        </is>
      </c>
      <c r="K49" s="75" t="inlineStr">
        <is>
          <t>Không chọn 端数処理</t>
        </is>
      </c>
      <c r="L49" s="75" t="inlineStr">
        <is>
          <t>High</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TC-FEPL-062</t>
        </is>
      </c>
      <c r="C50" s="74" t="inlineStr">
        <is>
          <t>端数処理</t>
        </is>
      </c>
      <c r="D50" s="70" t="inlineStr">
        <is>
          <t>Behavior</t>
        </is>
      </c>
      <c r="E50" s="70" t="inlineStr">
        <is>
          <t>Medium</t>
        </is>
      </c>
      <c r="F50" s="70" t="inlineStr">
        <is>
          <t>AC-05</t>
        </is>
      </c>
      <c r="G50" s="77" t="inlineStr">
        <is>
          <t>Check Xử lý số lẻ có đủ ba lựa chọn và mặc định là làm tròn xuống</t>
        </is>
      </c>
      <c r="H50" s="70" t="inlineStr">
        <is>
          <t>Đang ở màn 紹介フィーマスタ登録, đã chọn 算定方法 là 請求額割合</t>
        </is>
      </c>
      <c r="I50" s="75" t="inlineStr">
        <is>
          <t>1. Quan sát nhóm radio 端数処理
2. Đếm số lựa chọn và giá trị đang được chọn sẵn</t>
        </is>
      </c>
      <c r="J50" s="75" t="inlineStr">
        <is>
          <t>Nhóm có đúng 3 lựa chọn là làm tròn xuống, làm tròn theo quy tắc 5 lên 4 xuống, và làm tròn lên. Lựa chọn làm tròn xuống được chọn sẵn làm mặc định. Ba lựa chọn loại trừ nhau, chọn cái này thì bỏ cái kia</t>
        </is>
      </c>
      <c r="K50" s="75" t="inlineStr">
        <is>
          <t>—</t>
        </is>
      </c>
      <c r="L50" s="75" t="inlineStr">
        <is>
          <t>Medium</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TC-FEPL-063</t>
        </is>
      </c>
      <c r="C2" s="63" t="inlineStr">
        <is>
          <t>Màn chỉnh sửa</t>
        </is>
      </c>
      <c r="D2" s="71" t="inlineStr">
        <is>
          <t>UI</t>
        </is>
      </c>
      <c r="E2" s="71" t="inlineStr">
        <is>
          <t>Medium</t>
        </is>
      </c>
      <c r="F2" s="71" t="inlineStr">
        <is>
          <t>AC-05</t>
        </is>
      </c>
      <c r="G2" s="63" t="inlineStr">
        <is>
          <t>[UI Visual] Check màn Chỉnh sửa gói phí hiển thị đầy đủ hai section và bảng lịch sử thay đổi</t>
        </is>
      </c>
      <c r="H2" s="71" t="inlineStr">
        <is>
          <t>Đã có gói phí `RFP000001`, đăng nhập bằng tài khoản có quyền Update</t>
        </is>
      </c>
      <c r="I2" s="71" t="inlineStr">
        <is>
          <t>1. Mở màn 紹介フィーマスタ
2. Bấm icon ✏ ở dòng `RFP000001`</t>
        </is>
      </c>
      <c r="J2" s="70" t="inlineStr">
        <is>
          <t>Màn hiển thị 2 section giống màn đăng ký và có thêm bảng 変更情報テーブル phía dưới cùng gồm 3 cột 変更日時, 変更内容, 変更者. Header có nút キャンセル và 保存</t>
        </is>
      </c>
      <c r="K2" s="70" t="inlineStr">
        <is>
          <t>`RFP000001`</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TC-FEPL-064</t>
        </is>
      </c>
      <c r="C3" s="63" t="inlineStr">
        <is>
          <t>フィープランID</t>
        </is>
      </c>
      <c r="D3" s="63" t="inlineStr">
        <is>
          <t>Behavior</t>
        </is>
      </c>
      <c r="E3" s="63" t="inlineStr">
        <is>
          <t>Medium</t>
        </is>
      </c>
      <c r="F3" s="63" t="inlineStr">
        <is>
          <t>AC-15</t>
        </is>
      </c>
      <c r="G3" s="63" t="inlineStr">
        <is>
          <t>Check ô ID gói phí ở màn chỉnh sửa hiển thị giá trị đã cấp và không sửa được</t>
        </is>
      </c>
      <c r="H3" s="71" t="inlineStr">
        <is>
          <t>Đang ở màn chỉnh sửa gói `RFP000001`</t>
        </is>
      </c>
      <c r="I3" s="71" t="inlineStr">
        <is>
          <t>1. Quan sát ô フィープランID
2. Bấm vào ô và thử gõ ký tự</t>
        </is>
      </c>
      <c r="J3" s="70" t="inlineStr">
        <is>
          <t>Ô hiển thị đúng giá trị `RFP000001`, ở trạng thái chỉ đọc, không nhập hay sửa được</t>
        </is>
      </c>
      <c r="K3" s="70" t="inlineStr">
        <is>
          <t>`RFP000001`</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TC-FEPL-065</t>
        </is>
      </c>
      <c r="C4" s="71" t="inlineStr">
        <is>
          <t>Luồng chỉnh sửa</t>
        </is>
      </c>
      <c r="D4" s="63" t="inlineStr">
        <is>
          <t>Happy Path</t>
        </is>
      </c>
      <c r="E4" s="63" t="inlineStr">
        <is>
          <t>High</t>
        </is>
      </c>
      <c r="F4" s="63" t="inlineStr">
        <is>
          <t>AC-02</t>
        </is>
      </c>
      <c r="G4" s="63" t="inlineStr">
        <is>
          <t>Check chỉnh sửa gói phí thành công và hiển thị thông báo đã lưu</t>
        </is>
      </c>
      <c r="H4" s="63" t="inlineStr">
        <is>
          <t>Đang ở màn chỉnh sửa gói `RFP000006`</t>
        </is>
      </c>
      <c r="I4" s="71" t="inlineStr">
        <is>
          <t>1. Sửa フィープラン名 thành `未使用プラン改`
2. Bấm nút 保存</t>
        </is>
      </c>
      <c r="J4" s="70" t="inlineStr">
        <is>
          <t>Hệ thống lưu thành công, lấy lại dữ liệu mới nhất và cập nhật màn hình, hiển thị toast `Đã lưu.`. Giá trị mới `未使用プラン改` được phản ánh</t>
        </is>
      </c>
      <c r="K4" s="70" t="inlineStr">
        <is>
          <t>`RFP000006`, tên mới `未使用プラン改`</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TC-FEPL-066</t>
        </is>
      </c>
      <c r="C5" s="71" t="inlineStr">
        <is>
          <t>Cột chỉ sửa ở màn này</t>
        </is>
      </c>
      <c r="D5" s="63" t="inlineStr">
        <is>
          <t>Logic</t>
        </is>
      </c>
      <c r="E5" s="63" t="inlineStr">
        <is>
          <t>High</t>
        </is>
      </c>
      <c r="F5" s="63" t="inlineStr">
        <is>
          <t>AC-05</t>
        </is>
      </c>
      <c r="G5" s="63" t="inlineStr">
        <is>
          <t>Check các trường chỉ sửa được ở màn chỉnh sửa gồm phân loại nguồn, phân loại thanh toán, phương thức tính và trạng thái</t>
        </is>
      </c>
      <c r="H5" s="71" t="inlineStr">
        <is>
          <t>Đang ở màn chỉnh sửa gói `RFP000006`</t>
        </is>
      </c>
      <c r="I5" s="71" t="inlineStr">
        <is>
          <t>1. Thử đổi 紹介元区分 sang giá trị khác
2. Thử đổi 支払区分 sang giá trị khác
3. Thử đổi 算定方法 sang giá trị khác
4. Thử đổi ステータス sang 無効</t>
        </is>
      </c>
      <c r="J5" s="70" t="inlineStr">
        <is>
          <t>Cả 4 trường đều cho phép thay đổi ở màn này. Đối chiếu: các trường này ở màn danh sách chỉ hiển thị chỉ đọc, không sửa trực tiếp trên bảng được</t>
        </is>
      </c>
      <c r="K5" s="70" t="inlineStr">
        <is>
          <t>`RFP000006`</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TC-FEPL-067</t>
        </is>
      </c>
      <c r="C6" s="71" t="inlineStr">
        <is>
          <t>Panel tính phí</t>
        </is>
      </c>
      <c r="D6" s="63" t="inlineStr">
        <is>
          <t>Logic</t>
        </is>
      </c>
      <c r="E6" s="63" t="inlineStr">
        <is>
          <t>High</t>
        </is>
      </c>
      <c r="F6" s="63" t="inlineStr">
        <is>
          <t>AC-05</t>
        </is>
      </c>
      <c r="G6" s="63" t="inlineStr">
        <is>
          <t>Check đổi phương pháp tính ở màn chỉnh sửa thì panel cũ bị ẩn và xóa giá trị giống màn đăng ký</t>
        </is>
      </c>
      <c r="H6" s="71" t="inlineStr">
        <is>
          <t>Đang ở màn chỉnh sửa gói `RFP000001` có 算定方法 là 固定額 với số tiền 33,000</t>
        </is>
      </c>
      <c r="I6" s="71" t="inlineStr">
        <is>
          <t>1. Ghi nhận ô フィー金額（円）税込 đang có giá trị `33,000`
2. Đổi 算定方法 sang 請求額割合
3. Đổi lại 算定方法 về 固定額
4. Quan sát ô フィー金額（円）税込</t>
        </is>
      </c>
      <c r="J6" s="70" t="inlineStr">
        <is>
          <t>Sau bước 3 panel 2.4 hiển thị lại nhưng ô số tiền ở trạng thái trống, giá trị `33,000` ban đầu đã bị xóa khi panel bị ẩn ở bước 2</t>
        </is>
      </c>
      <c r="K6" s="70" t="inlineStr">
        <is>
          <t>`RFP000001`</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TC-FEPL-068</t>
        </is>
      </c>
      <c r="C7" s="71" t="inlineStr">
        <is>
          <t>変更情報テーブル</t>
        </is>
      </c>
      <c r="D7" s="63" t="inlineStr">
        <is>
          <t>Behavior</t>
        </is>
      </c>
      <c r="E7" s="63" t="inlineStr">
        <is>
          <t>Medium</t>
        </is>
      </c>
      <c r="F7" s="63" t="inlineStr">
        <is>
          <t>AC-08</t>
        </is>
      </c>
      <c r="G7" s="63" t="inlineStr">
        <is>
          <t>Check bảng lịch sử thay đổi ghi nhận đúng nội dung khi sửa một trường</t>
        </is>
      </c>
      <c r="H7" s="63" t="inlineStr">
        <is>
          <t>Đang ở màn chỉnh sửa gói `RFP000006`, tên hiện tại là `未使用プラン`</t>
        </is>
      </c>
      <c r="I7" s="71" t="inlineStr">
        <is>
          <t>1. Sửa フィープラン名 thành `未使用プラン改`
2. Bấm nút 保存
3. Quan sát dòng đầu tiên của bảng 変更情報テーブル</t>
        </is>
      </c>
      <c r="J7" s="70" t="inlineStr">
        <is>
          <t>Bảng có dòng mới ở **đầu** bảng với 変更日時 là thời điểm vừa lưu theo định dạng YYYY/MM/DD HH:mm, 変更内容 mô tả việc đổi tên từ giá trị cũ sang giá trị mới, 変更者 là tên tài khoản đang thao tác</t>
        </is>
      </c>
      <c r="K7" s="70" t="inlineStr">
        <is>
          <t>`RFP000006`</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TC-FEPL-069</t>
        </is>
      </c>
      <c r="C8" s="71" t="inlineStr">
        <is>
          <t>変更情報テーブル</t>
        </is>
      </c>
      <c r="D8" s="63" t="inlineStr">
        <is>
          <t>Behavior</t>
        </is>
      </c>
      <c r="E8" s="63" t="inlineStr">
        <is>
          <t>Medium</t>
        </is>
      </c>
      <c r="F8" s="63" t="inlineStr">
        <is>
          <t>AC-08</t>
        </is>
      </c>
      <c r="G8" s="63" t="inlineStr">
        <is>
          <t>Check bảng lịch sử thay đổi sắp xếp theo thứ tự mới nhất lên đầu</t>
        </is>
      </c>
      <c r="H8" s="71" t="inlineStr">
        <is>
          <t>Gói `RFP000006` đã có ít nhất 2 lần chỉnh sửa</t>
        </is>
      </c>
      <c r="I8" s="71" t="inlineStr">
        <is>
          <t>1. Mở màn chỉnh sửa gói `RFP000006`
2. Quan sát thứ tự các dòng trong bảng 変更情報テーブル theo cột 変更日時</t>
        </is>
      </c>
      <c r="J8" s="70" t="inlineStr">
        <is>
          <t>Các dòng được sắp xếp giảm dần theo 変更日時, dòng có thời điểm mới nhất nằm trên cùng</t>
        </is>
      </c>
      <c r="K8" s="70" t="inlineStr">
        <is>
          <t>`RFP000006`</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TC-FEPL-070</t>
        </is>
      </c>
      <c r="C9" s="71" t="inlineStr">
        <is>
          <t>変更情報テーブル</t>
        </is>
      </c>
      <c r="D9" s="63" t="inlineStr">
        <is>
          <t>Behavior</t>
        </is>
      </c>
      <c r="E9" s="63" t="inlineStr">
        <is>
          <t>Low</t>
        </is>
      </c>
      <c r="F9" s="63" t="inlineStr">
        <is>
          <t>AC-08</t>
        </is>
      </c>
      <c r="G9" s="63" t="inlineStr">
        <is>
          <t>Check bảng lịch sử thay đổi ở trạng thái chỉ đọc không cho phép sửa hay xóa dòng</t>
        </is>
      </c>
      <c r="H9" s="71" t="inlineStr">
        <is>
          <t>Đang ở màn chỉnh sửa gói `RFP000006` đã có lịch sử thay đổi</t>
        </is>
      </c>
      <c r="I9" s="63" t="inlineStr">
        <is>
          <t>1. Thử bấm vào từng ô trong bảng 変更情報テーブル
2. Quan sát xem bảng có cột thao tác hay không</t>
        </is>
      </c>
      <c r="J9" s="70" t="inlineStr">
        <is>
          <t>Không ô nào cho phép sửa. Bảng không có cột thao tác, không có icon sửa hay xóa dòng lịch sử</t>
        </is>
      </c>
      <c r="K9" s="70" t="inlineStr">
        <is>
          <t>`RFP000006`</t>
        </is>
      </c>
      <c r="L9" s="70" t="inlineStr">
        <is>
          <t>Low</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TC-FEPL-071</t>
        </is>
      </c>
      <c r="C10" s="71" t="inlineStr">
        <is>
          <t>Nút 保存</t>
        </is>
      </c>
      <c r="D10" s="63" t="inlineStr">
        <is>
          <t>Behavior</t>
        </is>
      </c>
      <c r="E10" s="63" t="inlineStr">
        <is>
          <t>High</t>
        </is>
      </c>
      <c r="F10" s="63" t="inlineStr">
        <is>
          <t>AC-02</t>
        </is>
      </c>
      <c r="G10" s="63" t="inlineStr">
        <is>
          <t>Check nút Lưu bị vô hiệu hóa trong lúc hệ thống đang xử lý</t>
        </is>
      </c>
      <c r="H10" s="71" t="inlineStr">
        <is>
          <t>Đang ở màn chỉnh sửa gói `RFP000006`, đã thay đổi dữ liệu</t>
        </is>
      </c>
      <c r="I10" s="63" t="inlineStr">
        <is>
          <t>1. Bấm nút 保存
2. Ngay lập tức bấm nút 保存 lần thứ hai</t>
        </is>
      </c>
      <c r="J10" s="70" t="inlineStr">
        <is>
          <t>Sau lần bấm đầu nút 保存 chuyển sang vô hiệu hóa, không bấm được lần hai. Chỉ một lần lưu được thực thi, bảng lịch sử thay đổi chỉ ghi thêm một dòng</t>
        </is>
      </c>
      <c r="K10" s="70" t="inlineStr">
        <is>
          <t>`RFP000006`</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TC-FEPL-072</t>
        </is>
      </c>
      <c r="C11" s="71" t="inlineStr">
        <is>
          <t>Nút 保存</t>
        </is>
      </c>
      <c r="D11" s="63" t="inlineStr">
        <is>
          <t>Behavior</t>
        </is>
      </c>
      <c r="E11" s="63" t="inlineStr">
        <is>
          <t>Medium</t>
        </is>
      </c>
      <c r="F11" s="63" t="inlineStr">
        <is>
          <t>AC-01</t>
        </is>
      </c>
      <c r="G11" s="63" t="inlineStr">
        <is>
          <t>Check nút Lưu bị ẩn hoàn toàn khi tài khoản không có quyền Update</t>
        </is>
      </c>
      <c r="H11" s="71" t="inlineStr">
        <is>
          <t>Có tài khoản chỉ được cấp quyền Create</t>
        </is>
      </c>
      <c r="I11" s="63" t="inlineStr">
        <is>
          <t>1. Đăng nhập bằng `qc_admin_create@estest.local`
2. Truy cập thẳng URL màn chỉnh sửa gói `RFP000001`
3. Quan sát header màn hình</t>
        </is>
      </c>
      <c r="J11" s="70" t="inlineStr">
        <is>
          <t>Nút 保存 không hiển thị và không tồn tại trong DOM. Hệ thống phải chặn truy cập trực tiếp URL màn chỉnh sửa với tài khoản không có quyền Update</t>
        </is>
      </c>
      <c r="K11" s="70" t="inlineStr">
        <is>
          <t>`qc_admin_create@estest.local`</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TC-FEPL-073</t>
        </is>
      </c>
      <c r="C12" s="71" t="inlineStr">
        <is>
          <t>Nút キャンセル</t>
        </is>
      </c>
      <c r="D12" s="63" t="inlineStr">
        <is>
          <t>Behavior</t>
        </is>
      </c>
      <c r="E12" s="63" t="inlineStr">
        <is>
          <t>High</t>
        </is>
      </c>
      <c r="F12" s="63" t="inlineStr">
        <is>
          <t>AC-02, E-021</t>
        </is>
      </c>
      <c r="G12" s="63" t="inlineStr">
        <is>
          <t>Check bấm Hủy khi có thay đổi chưa lưu thì hiện popup xác nhận hủy chỉnh sửa</t>
        </is>
      </c>
      <c r="H12" s="71" t="inlineStr">
        <is>
          <t>Đang ở màn chỉnh sửa gói `RFP000006`</t>
        </is>
      </c>
      <c r="I12" s="63" t="inlineStr">
        <is>
          <t>1. Sửa フィープラン名 thành giá trị khác
2. Bấm nút キャンセル</t>
        </is>
      </c>
      <c r="J12" s="70" t="inlineStr">
        <is>
          <t>Hệ thống hiển thị popup 編集破棄 với nội dung `Các nội dung đang chỉnh sửa sẽ không được lưu. Bạn có chắc chắn muốn hủy các nội dung chỉnh sửa không?`</t>
        </is>
      </c>
      <c r="K12" s="70" t="inlineStr">
        <is>
          <t>`RFP000006`</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TC-FEPL-074</t>
        </is>
      </c>
      <c r="C13" s="71" t="inlineStr">
        <is>
          <t>Rời màn qua menu bên</t>
        </is>
      </c>
      <c r="D13" s="63" t="inlineStr">
        <is>
          <t>Behavior</t>
        </is>
      </c>
      <c r="E13" s="63" t="inlineStr">
        <is>
          <t>High</t>
        </is>
      </c>
      <c r="F13" s="63" t="inlineStr">
        <is>
          <t>AC-02, E-021</t>
        </is>
      </c>
      <c r="G13" s="63" t="inlineStr">
        <is>
          <t>Check popup xác nhận hủy cũng bật khi rời màn bằng cách bấm menu ở sidebar</t>
        </is>
      </c>
      <c r="H13" s="71" t="inlineStr">
        <is>
          <t>Đang ở màn chỉnh sửa gói `RFP000006`</t>
        </is>
      </c>
      <c r="I13" s="63" t="inlineStr">
        <is>
          <t>1. Sửa フィープラン名 thành giá trị khác
2. Bấm mục 代理店マスタ trên sidebar bên trái</t>
        </is>
      </c>
      <c r="J13" s="70" t="inlineStr">
        <is>
          <t>Hệ thống hiển thị popup 編集破棄 trước khi điều hướng, không chuyển màn ngay lập tức</t>
        </is>
      </c>
      <c r="K13" s="70" t="inlineStr">
        <is>
          <t>`RFP000006`</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TC-FEPL-075</t>
        </is>
      </c>
      <c r="C14" s="71" t="inlineStr">
        <is>
          <t>Rời màn qua breadcrumb</t>
        </is>
      </c>
      <c r="D14" s="63" t="inlineStr">
        <is>
          <t>Behavior</t>
        </is>
      </c>
      <c r="E14" s="63" t="inlineStr">
        <is>
          <t>High</t>
        </is>
      </c>
      <c r="F14" s="63" t="inlineStr">
        <is>
          <t>AC-02, E-021</t>
        </is>
      </c>
      <c r="G14" s="63" t="inlineStr">
        <is>
          <t>Check popup xác nhận hủy cũng bật khi rời màn bằng cách bấm breadcrumb</t>
        </is>
      </c>
      <c r="H14" s="71" t="inlineStr">
        <is>
          <t>Đang ở màn chỉnh sửa gói `RFP000006`</t>
        </is>
      </c>
      <c r="I14" s="63" t="inlineStr">
        <is>
          <t>1. Sửa フィープラン名 thành giá trị khác
2. Bấm mục 紹介フィーマスタ trên breadcrumb phía trên tiêu đề</t>
        </is>
      </c>
      <c r="J14" s="70" t="inlineStr">
        <is>
          <t>Hệ thống hiển thị popup 編集破棄 trước khi điều hướng, không chuyển màn ngay lập tức</t>
        </is>
      </c>
      <c r="K14" s="70" t="inlineStr">
        <is>
          <t>`RFP000006`</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TC-FEPL-076</t>
        </is>
      </c>
      <c r="C15" s="71" t="inlineStr">
        <is>
          <t>Nút キャンセル</t>
        </is>
      </c>
      <c r="D15" s="63" t="inlineStr">
        <is>
          <t>Behavior</t>
        </is>
      </c>
      <c r="E15" s="63" t="inlineStr">
        <is>
          <t>Medium</t>
        </is>
      </c>
      <c r="F15" s="63" t="inlineStr">
        <is>
          <t>AC-02</t>
        </is>
      </c>
      <c r="G15" s="63" t="inlineStr">
        <is>
          <t>Check bấm Hủy khi chưa thay đổi gì thì quay về màn chi tiết không hiện popup</t>
        </is>
      </c>
      <c r="H15" s="71" t="inlineStr">
        <is>
          <t>Đang ở màn chỉnh sửa gói `RFP000006`, chưa sửa trường nào</t>
        </is>
      </c>
      <c r="I15" s="63" t="inlineStr">
        <is>
          <t>1. Bấm nút キャンセル</t>
        </is>
      </c>
      <c r="J15" s="70" t="inlineStr">
        <is>
          <t>Hệ thống chuyển thẳng về màn chi tiết gói phí, không hiển thị popup 編集破棄</t>
        </is>
      </c>
      <c r="K15" s="70" t="inlineStr">
        <is>
          <t>`RFP000006`</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n"/>
      <c r="C16" s="71" t="n"/>
      <c r="D16" s="63" t="n"/>
      <c r="E16" s="63" t="n"/>
      <c r="F16" s="63" t="n"/>
      <c r="G16" s="63" t="n"/>
      <c r="H16" s="63" t="n"/>
      <c r="I16" s="63" t="n"/>
      <c r="J16" s="70" t="n"/>
      <c r="K16" s="70" t="n"/>
      <c r="L16" s="70" t="n"/>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TC-FEPL-077</t>
        </is>
      </c>
      <c r="C2" s="63" t="inlineStr">
        <is>
          <t>Màn chi tiết</t>
        </is>
      </c>
      <c r="D2" s="71" t="inlineStr">
        <is>
          <t>UI</t>
        </is>
      </c>
      <c r="E2" s="71" t="inlineStr">
        <is>
          <t>Medium</t>
        </is>
      </c>
      <c r="F2" s="71" t="inlineStr">
        <is>
          <t>AC-15</t>
        </is>
      </c>
      <c r="G2" s="63" t="inlineStr">
        <is>
          <t>[UI Visual] Check màn Chi tiết gói phí hiển thị toàn bộ thông tin ở chế độ chỉ đọc</t>
        </is>
      </c>
      <c r="H2" s="71" t="inlineStr">
        <is>
          <t>Đã có gói phí `RFP000001`</t>
        </is>
      </c>
      <c r="I2" s="71" t="inlineStr">
        <is>
          <t>1. Mở màn 紹介フィーマスタ
2. Bấm vào link `RFP000001` ở cột フィープランID</t>
        </is>
      </c>
      <c r="J2" s="70" t="inlineStr">
        <is>
          <t>Màn chi tiết mở ra, hiển thị đầy đủ các trường của gói phí ở chế độ chỉ đọc, kèm bảng 変更情報テーブル phía dưới. Header có nút 編集 và nút 削除</t>
        </is>
      </c>
      <c r="K2" s="70" t="inlineStr">
        <is>
          <t>`RFP000001`</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TC-FEPL-078</t>
        </is>
      </c>
      <c r="C3" s="63" t="inlineStr">
        <is>
          <t>Điều hướng từ danh sách</t>
        </is>
      </c>
      <c r="D3" s="63" t="inlineStr">
        <is>
          <t>Happy Path</t>
        </is>
      </c>
      <c r="E3" s="63" t="inlineStr">
        <is>
          <t>Medium</t>
        </is>
      </c>
      <c r="F3" s="63" t="inlineStr">
        <is>
          <t>AC-15</t>
        </is>
      </c>
      <c r="G3" s="63" t="inlineStr">
        <is>
          <t>Check bấm link ID gói phí ở màn danh sách điều hướng đúng sang màn chi tiết của gói đó</t>
        </is>
      </c>
      <c r="H3" s="71" t="inlineStr">
        <is>
          <t>Đã có gói phí `RFP000002`</t>
        </is>
      </c>
      <c r="I3" s="71" t="inlineStr">
        <is>
          <t>1. Mở màn 紹介フィーマスタ
2. Bấm link `RFP000002`</t>
        </is>
      </c>
      <c r="J3" s="70" t="inlineStr">
        <is>
          <t>Hệ thống chuyển sang màn chi tiết, ô フィープランID hiển thị đúng `RFP000002`, các thông tin còn lại thuộc đúng gói này</t>
        </is>
      </c>
      <c r="K3" s="70" t="inlineStr">
        <is>
          <t>`RFP000002`</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TC-FEPL-079</t>
        </is>
      </c>
      <c r="C4" s="71" t="inlineStr">
        <is>
          <t>Toàn bộ trường</t>
        </is>
      </c>
      <c r="D4" s="63" t="inlineStr">
        <is>
          <t>Behavior</t>
        </is>
      </c>
      <c r="E4" s="63" t="inlineStr">
        <is>
          <t>Medium</t>
        </is>
      </c>
      <c r="F4" s="63" t="inlineStr">
        <is>
          <t>AC-15</t>
        </is>
      </c>
      <c r="G4" s="63" t="inlineStr">
        <is>
          <t>Check mọi trường ở màn chi tiết đều không sửa được</t>
        </is>
      </c>
      <c r="H4" s="63" t="inlineStr">
        <is>
          <t>Đang ở màn chi tiết gói `RFP000001`</t>
        </is>
      </c>
      <c r="I4" s="71" t="inlineStr">
        <is>
          <t>1. Thử bấm và gõ vào ô フィープラン名
2. Thử đổi lựa chọn của 紹介元区分
3. Thử đổi lựa chọn của ステータス
4. Thử gõ vào ô số tiền trong panel tính phí</t>
        </is>
      </c>
      <c r="J4" s="70" t="inlineStr">
        <is>
          <t>Không trường nào cho phép thay đổi giá trị. Các radio ở trạng thái hiển thị nhưng không chọn lại được</t>
        </is>
      </c>
      <c r="K4" s="70" t="inlineStr">
        <is>
          <t>`RFP000001`</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TC-FEPL-080</t>
        </is>
      </c>
      <c r="C5" s="71" t="inlineStr">
        <is>
          <t>Nút 編集</t>
        </is>
      </c>
      <c r="D5" s="63" t="inlineStr">
        <is>
          <t>Behavior</t>
        </is>
      </c>
      <c r="E5" s="63" t="inlineStr">
        <is>
          <t>Medium</t>
        </is>
      </c>
      <c r="F5" s="63" t="inlineStr">
        <is>
          <t>AC-01</t>
        </is>
      </c>
      <c r="G5" s="63" t="inlineStr">
        <is>
          <t>Check bấm nút Chỉnh sửa điều hướng sang màn chỉnh sửa của đúng gói phí đang xem</t>
        </is>
      </c>
      <c r="H5" s="71" t="inlineStr">
        <is>
          <t>Đang ở màn chi tiết gói `RFP000002`, tài khoản có quyền Update</t>
        </is>
      </c>
      <c r="I5" s="71" t="inlineStr">
        <is>
          <t>1. Bấm nút 編集 ở header</t>
        </is>
      </c>
      <c r="J5" s="70" t="inlineStr">
        <is>
          <t>Hệ thống chuyển sang màn 紹介フィーマスタ編集, ô フィープランID hiển thị đúng `RFP000002`</t>
        </is>
      </c>
      <c r="K5" s="70" t="inlineStr">
        <is>
          <t>`RFP000002`</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TC-FEPL-081</t>
        </is>
      </c>
      <c r="C6" s="71" t="inlineStr">
        <is>
          <t>Nút 編集 và 削除</t>
        </is>
      </c>
      <c r="D6" s="63" t="inlineStr">
        <is>
          <t>Behavior</t>
        </is>
      </c>
      <c r="E6" s="63" t="inlineStr">
        <is>
          <t>Medium</t>
        </is>
      </c>
      <c r="F6" s="63" t="inlineStr">
        <is>
          <t>AC-01</t>
        </is>
      </c>
      <c r="G6" s="63" t="inlineStr">
        <is>
          <t>Check nút Chỉnh sửa và nút Xóa bị ẩn hoàn toàn khi tài khoản không có quyền tương ứng</t>
        </is>
      </c>
      <c r="H6" s="71" t="inlineStr">
        <is>
          <t>Có tài khoản không có quyền Update và Delete</t>
        </is>
      </c>
      <c r="I6" s="71" t="inlineStr">
        <is>
          <t>1. Đăng nhập bằng `qc_admin_read@estest.local`
2. Mở màn chi tiết gói `RFP000001`
3. Quan sát header màn hình</t>
        </is>
      </c>
      <c r="J6" s="70" t="inlineStr">
        <is>
          <t>Cả nút 編集 và nút 削除 đều không hiển thị và không tồn tại trong DOM</t>
        </is>
      </c>
      <c r="K6" s="70" t="inlineStr">
        <is>
          <t>`qc_admin_read@estest.local`</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TC-FEPL-082</t>
        </is>
      </c>
      <c r="C7" s="71" t="inlineStr">
        <is>
          <t>Nút 削除</t>
        </is>
      </c>
      <c r="D7" s="63" t="inlineStr">
        <is>
          <t>Behavior</t>
        </is>
      </c>
      <c r="E7" s="63" t="inlineStr">
        <is>
          <t>Medium</t>
        </is>
      </c>
      <c r="F7" s="63" t="inlineStr">
        <is>
          <t>AC-04</t>
        </is>
      </c>
      <c r="G7" s="63" t="inlineStr">
        <is>
          <t>Check bấm nút Xóa ở màn chi tiết mở popup xác nhận xóa</t>
        </is>
      </c>
      <c r="H7" s="63" t="inlineStr">
        <is>
          <t>Đang ở màn chi tiết gói `RFP000006`, tài khoản có quyền Delete</t>
        </is>
      </c>
      <c r="I7" s="71" t="inlineStr">
        <is>
          <t>1. Bấm nút 削除 ở header</t>
        </is>
      </c>
      <c r="J7" s="70" t="inlineStr">
        <is>
          <t>Popup 削除確認 hiển thị với nội dung `Bạn có chắc chắn muốn xóa không? Sau khi xóa sẽ không thể khôi phục.` kèm nút 削除 và キャンセル</t>
        </is>
      </c>
      <c r="K7" s="70" t="inlineStr">
        <is>
          <t>`RFP000006`</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TC-FEPL-083</t>
        </is>
      </c>
      <c r="C8" s="71" t="inlineStr">
        <is>
          <t>変更情報テーブル</t>
        </is>
      </c>
      <c r="D8" s="63" t="inlineStr">
        <is>
          <t>Behavior</t>
        </is>
      </c>
      <c r="E8" s="63" t="inlineStr">
        <is>
          <t>Low</t>
        </is>
      </c>
      <c r="F8" s="63" t="inlineStr">
        <is>
          <t>E-022</t>
        </is>
      </c>
      <c r="G8" s="63" t="inlineStr">
        <is>
          <t>[UNCONFIRMED] Check bảng lịch sử thay đổi hiển thị trạng thái rỗng khi gói phí chưa từng được chỉnh sửa</t>
        </is>
      </c>
      <c r="H8" s="71" t="inlineStr">
        <is>
          <t>Có gói phí vừa được tạo mới, chưa chỉnh sửa lần nào</t>
        </is>
      </c>
      <c r="I8" s="71" t="inlineStr">
        <is>
          <t>1. Tạo mới một gói phí tên `代理店紹介I`
2. Mở màn chi tiết của gói vừa tạo
3. Quan sát bảng 変更情報テーブル</t>
        </is>
      </c>
      <c r="J8" s="70" t="inlineStr">
        <is>
          <t>Bảng hiển thị dòng ghi nhận việc đăng ký mới với 変更内容 là `データ登録`. Ghi chú: Figma không định nghĩa message trạng thái rỗng cho bảng này ở màn chi tiết gói phí, cần BrSE xác nhận nếu bảng thực tế rỗng</t>
        </is>
      </c>
      <c r="K8" s="70" t="inlineStr">
        <is>
          <t>`代理店紹介I`</t>
        </is>
      </c>
      <c r="L8" s="70" t="inlineStr">
        <is>
          <t>Low</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n"/>
      <c r="C9" s="71" t="n"/>
      <c r="D9" s="63" t="n"/>
      <c r="E9" s="63" t="n"/>
      <c r="F9" s="63" t="n"/>
      <c r="G9" s="63" t="n"/>
      <c r="H9" s="71" t="n"/>
      <c r="I9" s="63" t="n"/>
      <c r="J9" s="70" t="n"/>
      <c r="K9" s="70" t="n"/>
      <c r="L9" s="70" t="n"/>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n"/>
      <c r="C10" s="71" t="n"/>
      <c r="D10" s="63" t="n"/>
      <c r="E10" s="63" t="n"/>
      <c r="F10" s="63" t="n"/>
      <c r="G10" s="63" t="n"/>
      <c r="H10" s="71" t="n"/>
      <c r="I10" s="63" t="n"/>
      <c r="J10" s="70" t="n"/>
      <c r="K10" s="70" t="n"/>
      <c r="L10" s="70" t="n"/>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n"/>
      <c r="C11" s="71" t="n"/>
      <c r="D11" s="63" t="n"/>
      <c r="E11" s="63" t="n"/>
      <c r="F11" s="63" t="n"/>
      <c r="G11" s="63" t="n"/>
      <c r="H11" s="71" t="n"/>
      <c r="I11" s="63" t="n"/>
      <c r="J11" s="70" t="n"/>
      <c r="K11" s="70" t="n"/>
      <c r="L11" s="70" t="n"/>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n"/>
      <c r="C12" s="71" t="n"/>
      <c r="D12" s="63" t="n"/>
      <c r="E12" s="63" t="n"/>
      <c r="F12" s="63" t="n"/>
      <c r="G12" s="63" t="n"/>
      <c r="H12" s="71" t="n"/>
      <c r="I12" s="63" t="n"/>
      <c r="J12" s="70" t="n"/>
      <c r="K12" s="70" t="n"/>
      <c r="L12" s="70" t="n"/>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n"/>
      <c r="C13" s="71" t="n"/>
      <c r="D13" s="63" t="n"/>
      <c r="E13" s="63" t="n"/>
      <c r="F13" s="63" t="n"/>
      <c r="G13" s="63" t="n"/>
      <c r="H13" s="71" t="n"/>
      <c r="I13" s="63" t="n"/>
      <c r="J13" s="70" t="n"/>
      <c r="K13" s="70" t="n"/>
      <c r="L13" s="70" t="n"/>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n"/>
      <c r="C14" s="71" t="n"/>
      <c r="D14" s="63" t="n"/>
      <c r="E14" s="63" t="n"/>
      <c r="F14" s="63" t="n"/>
      <c r="G14" s="63" t="n"/>
      <c r="H14" s="71" t="n"/>
      <c r="I14" s="63" t="n"/>
      <c r="J14" s="70" t="n"/>
      <c r="K14" s="70" t="n"/>
      <c r="L14" s="70" t="n"/>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n"/>
      <c r="C15" s="71" t="n"/>
      <c r="D15" s="63" t="n"/>
      <c r="E15" s="63" t="n"/>
      <c r="F15" s="63" t="n"/>
      <c r="G15" s="63" t="n"/>
      <c r="H15" s="71" t="n"/>
      <c r="I15" s="63" t="n"/>
      <c r="J15" s="70" t="n"/>
      <c r="K15" s="70" t="n"/>
      <c r="L15" s="70" t="n"/>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n"/>
      <c r="C16" s="71" t="n"/>
      <c r="D16" s="63" t="n"/>
      <c r="E16" s="63" t="n"/>
      <c r="F16" s="63" t="n"/>
      <c r="G16" s="63" t="n"/>
      <c r="H16" s="63" t="n"/>
      <c r="I16" s="63" t="n"/>
      <c r="J16" s="70" t="n"/>
      <c r="K16" s="70" t="n"/>
      <c r="L16" s="70" t="n"/>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TC-FEPL-084</t>
        </is>
      </c>
      <c r="C2" s="63" t="inlineStr">
        <is>
          <t>Popup xác nhận xóa</t>
        </is>
      </c>
      <c r="D2" s="71" t="inlineStr">
        <is>
          <t>UI</t>
        </is>
      </c>
      <c r="E2" s="71" t="inlineStr">
        <is>
          <t>Medium</t>
        </is>
      </c>
      <c r="F2" s="71" t="inlineStr">
        <is>
          <t>AC-02</t>
        </is>
      </c>
      <c r="G2" s="63" t="inlineStr">
        <is>
          <t>[UI Visual] Check popup Xác nhận xóa hiển thị đúng nội dung và hai nút thao tác</t>
        </is>
      </c>
      <c r="H2" s="71" t="inlineStr">
        <is>
          <t>Đang ở màn 紹介フィーマスタ, tài khoản có quyền Delete</t>
        </is>
      </c>
      <c r="I2" s="71" t="inlineStr">
        <is>
          <t>1. Bấm icon 🗑 ở dòng gói `RFP000006`</t>
        </is>
      </c>
      <c r="J2" s="70" t="inlineStr">
        <is>
          <t>Popup dạng modal overlay hiển thị giữa màn hình với nội dung `Bạn có chắc chắn muốn xóa không? Sau khi xóa sẽ không thể khôi phục.` và 2 nút là 削除 và キャンセル. Nền phía sau bị làm mờ</t>
        </is>
      </c>
      <c r="K2" s="70" t="inlineStr">
        <is>
          <t>`RFP000006`</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TC-FEPL-085</t>
        </is>
      </c>
      <c r="C3" s="63" t="inlineStr">
        <is>
          <t>Nút キャンセル</t>
        </is>
      </c>
      <c r="D3" s="63" t="inlineStr">
        <is>
          <t>Behavior</t>
        </is>
      </c>
      <c r="E3" s="63" t="inlineStr">
        <is>
          <t>Medium</t>
        </is>
      </c>
      <c r="F3" s="63" t="inlineStr">
        <is>
          <t>AC-02</t>
        </is>
      </c>
      <c r="G3" s="63" t="inlineStr">
        <is>
          <t>Check bấm Hủy trong popup xác nhận xóa thì đóng popup và không xóa bản ghi</t>
        </is>
      </c>
      <c r="H3" s="71" t="inlineStr">
        <is>
          <t>Popup 削除確認 đang mở cho gói `RFP000006`</t>
        </is>
      </c>
      <c r="I3" s="71" t="inlineStr">
        <is>
          <t>1. Bấm nút キャンセル trong popup
2. Quan sát màn danh sách</t>
        </is>
      </c>
      <c r="J3" s="70" t="inlineStr">
        <is>
          <t>Popup đóng lại, quay về màn danh sách. Gói `RFP000006` vẫn còn nguyên trong danh sách, không bị xóa</t>
        </is>
      </c>
      <c r="K3" s="70" t="inlineStr">
        <is>
          <t>`RFP000006`</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TC-FEPL-086</t>
        </is>
      </c>
      <c r="C4" s="71" t="inlineStr">
        <is>
          <t>Nút 削除</t>
        </is>
      </c>
      <c r="D4" s="63" t="inlineStr">
        <is>
          <t>Happy Path</t>
        </is>
      </c>
      <c r="E4" s="63" t="inlineStr">
        <is>
          <t>High</t>
        </is>
      </c>
      <c r="F4" s="63" t="inlineStr">
        <is>
          <t>AC-04, E-024</t>
        </is>
      </c>
      <c r="G4" s="63" t="inlineStr">
        <is>
          <t>Check xóa thành công gói phí chưa được tham chiếu ở bất kỳ đâu</t>
        </is>
      </c>
      <c r="H4" s="63" t="inlineStr">
        <is>
          <t>Gói `RFP000006` chưa được gán cho đại lý nào, chưa xuất hiện trong lịch sử giới thiệu và lịch sử thanh toán</t>
        </is>
      </c>
      <c r="I4" s="71" t="inlineStr">
        <is>
          <t>1. Mở màn 紹介フィーマスタ
2. Bấm icon 🗑 ở dòng `RFP000006`
3. Bấm nút 削除 trong popup</t>
        </is>
      </c>
      <c r="J4" s="70" t="inlineStr">
        <is>
          <t>Hệ thống xóa thành công, đóng popup, hiển thị toast `削除が完了しました。`. Gói `RFP000006` không còn trong danh sách</t>
        </is>
      </c>
      <c r="K4" s="70" t="inlineStr">
        <is>
          <t>`RFP000006`</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TC-FEPL-087</t>
        </is>
      </c>
      <c r="C5" s="71" t="inlineStr">
        <is>
          <t>Guard tham chiếu</t>
        </is>
      </c>
      <c r="D5" s="63" t="inlineStr">
        <is>
          <t>Logic</t>
        </is>
      </c>
      <c r="E5" s="63" t="inlineStr">
        <is>
          <t>High</t>
        </is>
      </c>
      <c r="F5" s="63" t="inlineStr">
        <is>
          <t>AC-04, E-001</t>
        </is>
      </c>
      <c r="G5" s="63" t="inlineStr">
        <is>
          <t>Check hệ thống chặn xóa gói phí đang được gán cho một đại lý</t>
        </is>
      </c>
      <c r="H5" s="71" t="inlineStr">
        <is>
          <t>Gói `RFP000001` đang được gán cho đại lý `AG00001`</t>
        </is>
      </c>
      <c r="I5" s="71" t="inlineStr">
        <is>
          <t>1. Mở màn 紹介フィーマスタ
2. Bấm icon 🗑 ở dòng `RFP000001`
3. Bấm nút 削除 trong popup</t>
        </is>
      </c>
      <c r="J5" s="70" t="inlineStr">
        <is>
          <t>Hệ thống không xóa bản ghi, hiển thị toast lỗi báo không thể xóa gói phí đang được sử dụng. Gói `RFP000001` vẫn còn trong danh sách. Ghi chú: Figma chưa quy định nội dung message cụ thể, ghi lại message thực tế để đối chiếu với BA</t>
        </is>
      </c>
      <c r="K5" s="70" t="inlineStr">
        <is>
          <t>`RFP000001`, `AG00001`</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TC-FEPL-088</t>
        </is>
      </c>
      <c r="C6" s="71" t="inlineStr">
        <is>
          <t>Guard tham chiếu</t>
        </is>
      </c>
      <c r="D6" s="63" t="inlineStr">
        <is>
          <t>Logic</t>
        </is>
      </c>
      <c r="E6" s="63" t="inlineStr">
        <is>
          <t>High</t>
        </is>
      </c>
      <c r="F6" s="63" t="inlineStr">
        <is>
          <t>AC-04, E-001</t>
        </is>
      </c>
      <c r="G6" s="63" t="inlineStr">
        <is>
          <t>Check hệ thống chặn xóa gói phí đang được tham chiếu trong lịch sử giới thiệu</t>
        </is>
      </c>
      <c r="H6" s="71" t="inlineStr">
        <is>
          <t>Gói `RFP000001` đang được áp dụng cho hồ sơ giới thiệu `REF000008`</t>
        </is>
      </c>
      <c r="I6" s="71" t="inlineStr">
        <is>
          <t>1. Mở màn 紹介フィーマスタ
2. Bấm icon 🗑 ở dòng `RFP000001`
3. Bấm nút 削除 trong popup</t>
        </is>
      </c>
      <c r="J6" s="70" t="inlineStr">
        <is>
          <t>Hệ thống không xóa bản ghi và hiển thị toast lỗi. Gói `RFP000001` vẫn còn trong danh sách</t>
        </is>
      </c>
      <c r="K6" s="70" t="inlineStr">
        <is>
          <t>`RFP000001`, `REF000008`</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TC-FEPL-089</t>
        </is>
      </c>
      <c r="C7" s="71" t="inlineStr">
        <is>
          <t>Guard tham chiếu</t>
        </is>
      </c>
      <c r="D7" s="63" t="inlineStr">
        <is>
          <t>Logic</t>
        </is>
      </c>
      <c r="E7" s="63" t="inlineStr">
        <is>
          <t>High</t>
        </is>
      </c>
      <c r="F7" s="63" t="inlineStr">
        <is>
          <t>AC-04, E-001</t>
        </is>
      </c>
      <c r="G7" s="63" t="inlineStr">
        <is>
          <t>Check hệ thống chặn xóa gói phí đang được tham chiếu trong lịch sử thanh toán</t>
        </is>
      </c>
      <c r="H7" s="63" t="inlineStr">
        <is>
          <t>Gói `RFP000001` đã phát sinh bản ghi thanh toán `FP202608-0001`</t>
        </is>
      </c>
      <c r="I7" s="71" t="inlineStr">
        <is>
          <t>1. Mở màn 紹介フィーマスタ
2. Bấm icon 🗑 ở dòng `RFP000001`
3. Bấm nút 削除 trong popup</t>
        </is>
      </c>
      <c r="J7" s="70" t="inlineStr">
        <is>
          <t>Hệ thống không xóa bản ghi và hiển thị toast lỗi. Gói `RFP000001` vẫn còn trong danh sách</t>
        </is>
      </c>
      <c r="K7" s="70" t="inlineStr">
        <is>
          <t>`RFP000001`, `FP202608-0001`</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TC-FEPL-090</t>
        </is>
      </c>
      <c r="C8" s="71" t="inlineStr">
        <is>
          <t>Xóa thất bại</t>
        </is>
      </c>
      <c r="D8" s="63" t="inlineStr">
        <is>
          <t>Logic</t>
        </is>
      </c>
      <c r="E8" s="63" t="inlineStr">
        <is>
          <t>Medium</t>
        </is>
      </c>
      <c r="F8" s="63" t="inlineStr">
        <is>
          <t>E-023</t>
        </is>
      </c>
      <c r="G8" s="63" t="inlineStr">
        <is>
          <t>Check hệ thống hiển thị thông báo khi thao tác xóa thất bại</t>
        </is>
      </c>
      <c r="H8" s="71" t="inlineStr">
        <is>
          <t>Chuẩn bị môi trường giả lập lỗi phía server khi gọi API xóa</t>
        </is>
      </c>
      <c r="I8" s="71" t="inlineStr">
        <is>
          <t>1. Mở màn 紹介フィーマスタ
2. Bấm icon 🗑 ở dòng `RFP000006`
3. Bấm nút 削除 trong popup khi server đang trả lỗi</t>
        </is>
      </c>
      <c r="J8" s="70" t="inlineStr">
        <is>
          <t>Hệ thống hiển thị toast `削除に失敗しました。`. Bản ghi vẫn còn trong danh sách, không bị xóa một phần</t>
        </is>
      </c>
      <c r="K8" s="70" t="inlineStr">
        <is>
          <t>`RFP000006`</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TC-FEPL-091</t>
        </is>
      </c>
      <c r="C9" s="71" t="inlineStr">
        <is>
          <t>Điểm vào popup</t>
        </is>
      </c>
      <c r="D9" s="63" t="inlineStr">
        <is>
          <t>Behavior</t>
        </is>
      </c>
      <c r="E9" s="63" t="inlineStr">
        <is>
          <t>Medium</t>
        </is>
      </c>
      <c r="F9" s="63" t="inlineStr">
        <is>
          <t>AC-04</t>
        </is>
      </c>
      <c r="G9" s="63" t="inlineStr">
        <is>
          <t>Check popup xác nhận xóa mở được từ cả màn danh sách và màn chi tiết</t>
        </is>
      </c>
      <c r="H9" s="71" t="inlineStr">
        <is>
          <t>Gói `RFP000006` tồn tại, tài khoản có quyền Delete</t>
        </is>
      </c>
      <c r="I9" s="63" t="inlineStr">
        <is>
          <t>1. Ở màn danh sách bấm icon 🗑 dòng `RFP000006`, ghi nhận popup, bấm キャンセル
2. Mở màn chi tiết gói `RFP000006`
3. Bấm nút 削除 ở header</t>
        </is>
      </c>
      <c r="J9" s="70" t="inlineStr">
        <is>
          <t>Cả hai điểm vào đều mở đúng cùng một popup 削除確認 với nội dung giống nhau và 2 nút giống nhau</t>
        </is>
      </c>
      <c r="K9" s="70" t="inlineStr">
        <is>
          <t>`RFP000006`</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n"/>
      <c r="C10" s="71" t="n"/>
      <c r="D10" s="63" t="n"/>
      <c r="E10" s="63" t="n"/>
      <c r="F10" s="63" t="n"/>
      <c r="G10" s="63" t="n"/>
      <c r="H10" s="71" t="n"/>
      <c r="I10" s="63" t="n"/>
      <c r="J10" s="70" t="n"/>
      <c r="K10" s="70" t="n"/>
      <c r="L10" s="70" t="n"/>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n"/>
      <c r="C11" s="71" t="n"/>
      <c r="D11" s="63" t="n"/>
      <c r="E11" s="63" t="n"/>
      <c r="F11" s="63" t="n"/>
      <c r="G11" s="63" t="n"/>
      <c r="H11" s="71" t="n"/>
      <c r="I11" s="63" t="n"/>
      <c r="J11" s="70" t="n"/>
      <c r="K11" s="70" t="n"/>
      <c r="L11" s="70" t="n"/>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n"/>
      <c r="C12" s="71" t="n"/>
      <c r="D12" s="63" t="n"/>
      <c r="E12" s="63" t="n"/>
      <c r="F12" s="63" t="n"/>
      <c r="G12" s="63" t="n"/>
      <c r="H12" s="71" t="n"/>
      <c r="I12" s="63" t="n"/>
      <c r="J12" s="70" t="n"/>
      <c r="K12" s="70" t="n"/>
      <c r="L12" s="70" t="n"/>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n"/>
      <c r="C13" s="71" t="n"/>
      <c r="D13" s="63" t="n"/>
      <c r="E13" s="63" t="n"/>
      <c r="F13" s="63" t="n"/>
      <c r="G13" s="63" t="n"/>
      <c r="H13" s="71" t="n"/>
      <c r="I13" s="63" t="n"/>
      <c r="J13" s="70" t="n"/>
      <c r="K13" s="70" t="n"/>
      <c r="L13" s="70" t="n"/>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n"/>
      <c r="C14" s="71" t="n"/>
      <c r="D14" s="63" t="n"/>
      <c r="E14" s="63" t="n"/>
      <c r="F14" s="63" t="n"/>
      <c r="G14" s="63" t="n"/>
      <c r="H14" s="71" t="n"/>
      <c r="I14" s="63" t="n"/>
      <c r="J14" s="70" t="n"/>
      <c r="K14" s="70" t="n"/>
      <c r="L14" s="70" t="n"/>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n"/>
      <c r="C15" s="71" t="n"/>
      <c r="D15" s="63" t="n"/>
      <c r="E15" s="63" t="n"/>
      <c r="F15" s="63" t="n"/>
      <c r="G15" s="63" t="n"/>
      <c r="H15" s="71" t="n"/>
      <c r="I15" s="63" t="n"/>
      <c r="J15" s="70" t="n"/>
      <c r="K15" s="70" t="n"/>
      <c r="L15" s="70" t="n"/>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n"/>
      <c r="C16" s="71" t="n"/>
      <c r="D16" s="63" t="n"/>
      <c r="E16" s="63" t="n"/>
      <c r="F16" s="63" t="n"/>
      <c r="G16" s="63" t="n"/>
      <c r="H16" s="63" t="n"/>
      <c r="I16" s="63" t="n"/>
      <c r="J16" s="70" t="n"/>
      <c r="K16" s="70" t="n"/>
      <c r="L16" s="70" t="n"/>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TC-FEPL-092</t>
        </is>
      </c>
      <c r="C2" s="63" t="inlineStr">
        <is>
          <t>Popup hủy chỉnh sửa</t>
        </is>
      </c>
      <c r="D2" s="71" t="inlineStr">
        <is>
          <t>UI</t>
        </is>
      </c>
      <c r="E2" s="71" t="inlineStr">
        <is>
          <t>Medium</t>
        </is>
      </c>
      <c r="F2" s="71" t="inlineStr">
        <is>
          <t>AC-02, E-021</t>
        </is>
      </c>
      <c r="G2" s="63" t="inlineStr">
        <is>
          <t>[UI Visual] Check popup Xác nhận hủy chỉnh sửa hiển thị đúng nội dung và hai nút thao tác</t>
        </is>
      </c>
      <c r="H2" s="71" t="inlineStr">
        <is>
          <t>Đang ở màn 紹介フィーマスタ登録, đã nhập dữ liệu</t>
        </is>
      </c>
      <c r="I2" s="71" t="inlineStr">
        <is>
          <t>1. Nhập フィープラン名 là `テスト破棄`
2. Bấm nút キャンセル</t>
        </is>
      </c>
      <c r="J2" s="70" t="inlineStr">
        <is>
          <t>Popup dạng modal overlay hiển thị với nội dung `Các nội dung đang chỉnh sửa sẽ không được lưu. Bạn có chắc chắn muốn hủy các nội dung chỉnh sửa không?` kèm 2 nút là キャンセル và 廃棄</t>
        </is>
      </c>
      <c r="K2" s="70" t="inlineStr">
        <is>
          <t>`テスト破棄`</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TC-FEPL-093</t>
        </is>
      </c>
      <c r="C3" s="63" t="inlineStr">
        <is>
          <t>Nút キャンセル</t>
        </is>
      </c>
      <c r="D3" s="63" t="inlineStr">
        <is>
          <t>Behavior</t>
        </is>
      </c>
      <c r="E3" s="63" t="inlineStr">
        <is>
          <t>High</t>
        </is>
      </c>
      <c r="F3" s="63" t="inlineStr">
        <is>
          <t>AC-02</t>
        </is>
      </c>
      <c r="G3" s="63" t="inlineStr">
        <is>
          <t>Check bấm Hủy trong popup thì đóng popup và quay lại màn đang nhập giữ nguyên dữ liệu</t>
        </is>
      </c>
      <c r="H3" s="71" t="inlineStr">
        <is>
          <t>Popup 編集破棄 đang mở, màn đăng ký phía sau đã nhập tên `テスト破棄`</t>
        </is>
      </c>
      <c r="I3" s="71" t="inlineStr">
        <is>
          <t>1. Bấm nút キャンセル trong popup
2. Quan sát ô フィープラン名</t>
        </is>
      </c>
      <c r="J3" s="70" t="inlineStr">
        <is>
          <t>Popup đóng lại, quay về màn 紹介フィーマスタ登録. Giá trị `テスト破棄` trong ô フィープラン名 vẫn còn nguyên, không bị mất</t>
        </is>
      </c>
      <c r="K3" s="70" t="inlineStr">
        <is>
          <t>`テスト破棄`</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TC-FEPL-094</t>
        </is>
      </c>
      <c r="C4" s="71" t="inlineStr">
        <is>
          <t>Nút 廃棄</t>
        </is>
      </c>
      <c r="D4" s="63" t="inlineStr">
        <is>
          <t>Behavior</t>
        </is>
      </c>
      <c r="E4" s="63" t="inlineStr">
        <is>
          <t>High</t>
        </is>
      </c>
      <c r="F4" s="63" t="inlineStr">
        <is>
          <t>AC-02</t>
        </is>
      </c>
      <c r="G4" s="63" t="inlineStr">
        <is>
          <t>Check bấm Hủy thay đổi trong popup thì bỏ toàn bộ dữ liệu và chuyển tới màn đích</t>
        </is>
      </c>
      <c r="H4" s="63" t="inlineStr">
        <is>
          <t>Popup 編集破棄 đang mở từ màn đăng ký, đã nhập tên `テスト破棄`</t>
        </is>
      </c>
      <c r="I4" s="71" t="inlineStr">
        <is>
          <t>1. Bấm nút 廃棄 trong popup
2. Quan sát màn hình sau khi chuyển
3. Mở lại màn 紹介フィーマスタ登録</t>
        </is>
      </c>
      <c r="J4" s="70" t="inlineStr">
        <is>
          <t>Popup đóng và hệ thống chuyển về màn 紹介フィーマスタ danh sách. Không có bản ghi nào được tạo. Khi mở lại màn đăng ký, các trường ở trạng thái trống ban đầu, không giữ lại `テスト破棄`</t>
        </is>
      </c>
      <c r="K4" s="70" t="inlineStr">
        <is>
          <t>`テスト破棄`</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TC-FEPL-095</t>
        </is>
      </c>
      <c r="C5" s="71" t="inlineStr">
        <is>
          <t>Điểm vào từ nút Hủy</t>
        </is>
      </c>
      <c r="D5" s="63" t="inlineStr">
        <is>
          <t>Behavior</t>
        </is>
      </c>
      <c r="E5" s="63" t="inlineStr">
        <is>
          <t>High</t>
        </is>
      </c>
      <c r="F5" s="63" t="inlineStr">
        <is>
          <t>AC-02</t>
        </is>
      </c>
      <c r="G5" s="63" t="inlineStr">
        <is>
          <t>Check popup bật đúng khi rời màn bằng nút Hủy ở màn chỉnh sửa</t>
        </is>
      </c>
      <c r="H5" s="71" t="inlineStr">
        <is>
          <t>Đang ở màn chỉnh sửa gói `RFP000006`</t>
        </is>
      </c>
      <c r="I5" s="71" t="inlineStr">
        <is>
          <t>1. Sửa フィープラン名 sang giá trị khác
2. Bấm nút キャンセル
3. Bấm nút 廃棄 trong popup</t>
        </is>
      </c>
      <c r="J5" s="70" t="inlineStr">
        <is>
          <t>Popup bật đúng, sau khi bấm 廃棄 hệ thống chuyển về màn chi tiết gói `RFP000006` và các thay đổi không được lưu</t>
        </is>
      </c>
      <c r="K5" s="70" t="inlineStr">
        <is>
          <t>`RFP000006`</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TC-FEPL-096</t>
        </is>
      </c>
      <c r="C6" s="71" t="inlineStr">
        <is>
          <t>Điểm vào từ menu bên</t>
        </is>
      </c>
      <c r="D6" s="63" t="inlineStr">
        <is>
          <t>Behavior</t>
        </is>
      </c>
      <c r="E6" s="63" t="inlineStr">
        <is>
          <t>High</t>
        </is>
      </c>
      <c r="F6" s="63" t="inlineStr">
        <is>
          <t>AC-02</t>
        </is>
      </c>
      <c r="G6" s="63" t="inlineStr">
        <is>
          <t>Check popup bật đúng khi rời màn bằng menu sidebar và chuyển đúng tới mục đã bấm</t>
        </is>
      </c>
      <c r="H6" s="71" t="inlineStr">
        <is>
          <t>Đang ở màn chỉnh sửa gói `RFP000006`</t>
        </is>
      </c>
      <c r="I6" s="71" t="inlineStr">
        <is>
          <t>1. Sửa フィープラン名 sang giá trị khác
2. Bấm mục 紹介履歴 trên sidebar
3. Bấm nút 廃棄 trong popup</t>
        </is>
      </c>
      <c r="J6" s="70" t="inlineStr">
        <is>
          <t>Popup bật trước khi điều hướng. Sau khi bấm 廃棄 hệ thống chuyển đúng sang màn 紹介履歴一覧 là mục đã bấm ở bước 2, không phải màn khác</t>
        </is>
      </c>
      <c r="K6" s="70" t="inlineStr">
        <is>
          <t>`RFP000006`</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TC-FEPL-097</t>
        </is>
      </c>
      <c r="C7" s="71" t="inlineStr">
        <is>
          <t>Điểm vào từ breadcrumb</t>
        </is>
      </c>
      <c r="D7" s="63" t="inlineStr">
        <is>
          <t>Behavior</t>
        </is>
      </c>
      <c r="E7" s="63" t="inlineStr">
        <is>
          <t>High</t>
        </is>
      </c>
      <c r="F7" s="63" t="inlineStr">
        <is>
          <t>AC-02</t>
        </is>
      </c>
      <c r="G7" s="63" t="inlineStr">
        <is>
          <t>Check popup bật đúng khi rời màn bằng breadcrumb và chuyển đúng tới mục đã bấm</t>
        </is>
      </c>
      <c r="H7" s="63" t="inlineStr">
        <is>
          <t>Đang ở màn chỉnh sửa gói `RFP000006`</t>
        </is>
      </c>
      <c r="I7" s="71" t="inlineStr">
        <is>
          <t>1. Sửa フィープラン名 sang giá trị khác
2. Bấm mục 紹介フィーマスタ trên breadcrumb
3. Bấm nút 廃棄 trong popup</t>
        </is>
      </c>
      <c r="J7" s="70" t="inlineStr">
        <is>
          <t>Popup bật trước khi điều hướng. Sau khi bấm 廃棄 hệ thống chuyển đúng sang màn 紹介フィーマスタ danh sách</t>
        </is>
      </c>
      <c r="K7" s="70" t="inlineStr">
        <is>
          <t>`RFP000006`</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TC-FEPL-098</t>
        </is>
      </c>
      <c r="C8" s="71" t="inlineStr">
        <is>
          <t>Không bật popup</t>
        </is>
      </c>
      <c r="D8" s="63" t="inlineStr">
        <is>
          <t>Behavior</t>
        </is>
      </c>
      <c r="E8" s="63" t="inlineStr">
        <is>
          <t>Medium</t>
        </is>
      </c>
      <c r="F8" s="63" t="inlineStr">
        <is>
          <t>AC-02</t>
        </is>
      </c>
      <c r="G8" s="63" t="inlineStr">
        <is>
          <t>Check popup không bật khi rời màn chỉnh sửa mà chưa thay đổi dữ liệu nào</t>
        </is>
      </c>
      <c r="H8" s="71" t="inlineStr">
        <is>
          <t>Đang ở màn chỉnh sửa gói `RFP000006`, chưa sửa trường nào</t>
        </is>
      </c>
      <c r="I8" s="71" t="inlineStr">
        <is>
          <t>1. Bấm mục 代理店マスタ trên sidebar</t>
        </is>
      </c>
      <c r="J8" s="70" t="inlineStr">
        <is>
          <t>Hệ thống chuyển thẳng sang màn 代理店マスタ, không hiển thị popup 編集破棄</t>
        </is>
      </c>
      <c r="K8" s="70" t="inlineStr">
        <is>
          <t>`RFP000006`</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n"/>
      <c r="C9" s="71" t="n"/>
      <c r="D9" s="63" t="n"/>
      <c r="E9" s="63" t="n"/>
      <c r="F9" s="63" t="n"/>
      <c r="G9" s="63" t="n"/>
      <c r="H9" s="71" t="n"/>
      <c r="I9" s="63" t="n"/>
      <c r="J9" s="70" t="n"/>
      <c r="K9" s="70" t="n"/>
      <c r="L9" s="70" t="n"/>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n"/>
      <c r="C10" s="71" t="n"/>
      <c r="D10" s="63" t="n"/>
      <c r="E10" s="63" t="n"/>
      <c r="F10" s="63" t="n"/>
      <c r="G10" s="63" t="n"/>
      <c r="H10" s="71" t="n"/>
      <c r="I10" s="63" t="n"/>
      <c r="J10" s="70" t="n"/>
      <c r="K10" s="70" t="n"/>
      <c r="L10" s="70" t="n"/>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n"/>
      <c r="C11" s="71" t="n"/>
      <c r="D11" s="63" t="n"/>
      <c r="E11" s="63" t="n"/>
      <c r="F11" s="63" t="n"/>
      <c r="G11" s="63" t="n"/>
      <c r="H11" s="71" t="n"/>
      <c r="I11" s="63" t="n"/>
      <c r="J11" s="70" t="n"/>
      <c r="K11" s="70" t="n"/>
      <c r="L11" s="70" t="n"/>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n"/>
      <c r="C12" s="71" t="n"/>
      <c r="D12" s="63" t="n"/>
      <c r="E12" s="63" t="n"/>
      <c r="F12" s="63" t="n"/>
      <c r="G12" s="63" t="n"/>
      <c r="H12" s="71" t="n"/>
      <c r="I12" s="63" t="n"/>
      <c r="J12" s="70" t="n"/>
      <c r="K12" s="70" t="n"/>
      <c r="L12" s="70" t="n"/>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n"/>
      <c r="C13" s="71" t="n"/>
      <c r="D13" s="63" t="n"/>
      <c r="E13" s="63" t="n"/>
      <c r="F13" s="63" t="n"/>
      <c r="G13" s="63" t="n"/>
      <c r="H13" s="71" t="n"/>
      <c r="I13" s="63" t="n"/>
      <c r="J13" s="70" t="n"/>
      <c r="K13" s="70" t="n"/>
      <c r="L13" s="70" t="n"/>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n"/>
      <c r="C14" s="71" t="n"/>
      <c r="D14" s="63" t="n"/>
      <c r="E14" s="63" t="n"/>
      <c r="F14" s="63" t="n"/>
      <c r="G14" s="63" t="n"/>
      <c r="H14" s="71" t="n"/>
      <c r="I14" s="63" t="n"/>
      <c r="J14" s="70" t="n"/>
      <c r="K14" s="70" t="n"/>
      <c r="L14" s="70" t="n"/>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n"/>
      <c r="C15" s="71" t="n"/>
      <c r="D15" s="63" t="n"/>
      <c r="E15" s="63" t="n"/>
      <c r="F15" s="63" t="n"/>
      <c r="G15" s="63" t="n"/>
      <c r="H15" s="71" t="n"/>
      <c r="I15" s="63" t="n"/>
      <c r="J15" s="70" t="n"/>
      <c r="K15" s="70" t="n"/>
      <c r="L15" s="70" t="n"/>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n"/>
      <c r="C16" s="71" t="n"/>
      <c r="D16" s="63" t="n"/>
      <c r="E16" s="63" t="n"/>
      <c r="F16" s="63" t="n"/>
      <c r="G16" s="63" t="n"/>
      <c r="H16" s="63" t="n"/>
      <c r="I16" s="63" t="n"/>
      <c r="J16" s="70" t="n"/>
      <c r="K16" s="70" t="n"/>
      <c r="L16" s="70" t="n"/>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B2:D11"/>
  <sheetViews>
    <sheetView workbookViewId="0">
      <selection activeCell="A1" sqref="A1"/>
    </sheetView>
  </sheetViews>
  <sheetFormatPr baseColWidth="8" defaultColWidth="12.63" defaultRowHeight="15.75" customHeight="1"/>
  <cols>
    <col width="3.13" customWidth="1" style="93" min="1" max="1"/>
    <col width="55.38" customWidth="1" style="93" min="3" max="3"/>
    <col width="144.63" customWidth="1" style="93" min="4" max="4"/>
  </cols>
  <sheetData>
    <row r="2">
      <c r="B2" s="88" t="inlineStr">
        <is>
          <t>No</t>
        </is>
      </c>
      <c r="C2" s="88" t="inlineStr">
        <is>
          <t>Test Scenario</t>
        </is>
      </c>
      <c r="D2" s="89" t="inlineStr">
        <is>
          <t>Evidence</t>
        </is>
      </c>
    </row>
    <row r="3" ht="277.5" customHeight="1" s="93">
      <c r="B3" s="90" t="n"/>
      <c r="C3" s="91" t="n"/>
      <c r="D3" s="92" t="n"/>
    </row>
    <row r="4" ht="277.5" customHeight="1" s="93">
      <c r="B4" s="90" t="n"/>
      <c r="C4" s="91" t="n"/>
      <c r="D4" s="92" t="n"/>
    </row>
    <row r="5" ht="277.5" customHeight="1" s="93">
      <c r="B5" s="90" t="n"/>
      <c r="C5" s="91" t="n"/>
      <c r="D5" s="92" t="n"/>
    </row>
    <row r="6" ht="277.5" customHeight="1" s="93">
      <c r="B6" s="90" t="n"/>
      <c r="C6" s="91" t="n"/>
      <c r="D6" s="92" t="n"/>
    </row>
    <row r="7" ht="277.5" customHeight="1" s="93">
      <c r="B7" s="90" t="n"/>
      <c r="C7" s="91" t="n"/>
      <c r="D7" s="92" t="n"/>
    </row>
    <row r="8" ht="277.5" customHeight="1" s="93">
      <c r="B8" s="90" t="n"/>
      <c r="C8" s="91" t="n"/>
      <c r="D8" s="92" t="n"/>
    </row>
    <row r="9" ht="277.5" customHeight="1" s="93">
      <c r="B9" s="90" t="n"/>
      <c r="C9" s="91" t="n"/>
      <c r="D9" s="92" t="n"/>
    </row>
    <row r="10" ht="277.5" customHeight="1" s="93">
      <c r="B10" s="90" t="n"/>
      <c r="C10" s="91" t="n"/>
      <c r="D10" s="92" t="n"/>
    </row>
    <row r="11" ht="277.5" customHeight="1" s="93">
      <c r="B11" s="90" t="n"/>
      <c r="C11" s="91" t="n"/>
      <c r="D11" s="9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showGridLines="1" workbookViewId="0">
      <selection activeCell="A1" sqref="A1"/>
    </sheetView>
  </sheetViews>
  <sheetFormatPr baseColWidth="8" defaultRowHeight="15"/>
  <cols>
    <col width="55" customWidth="1" style="93" min="1" max="1"/>
  </cols>
  <sheetData>
    <row r="1">
      <c r="A1" s="102" t="inlineStr">
        <is>
          <t>&gt; Feature: `agency-referral-management` · Module: `fee-plan` · Ngày: 2026-09-22
&gt; Nguồn: `SPEC.md` §AW_FEPL_001–006 · `plan-tcs.md` · `../analysis.md`
&gt; Platform: Web 1440×1024 · Actor: E03 System Admin · Môi trường: 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2026-09-22T03:07:31Z</dcterms:created>
  <dcterms:modified xsi:type="dcterms:W3CDTF">2026-09-22T03:07:31Z</dcterms:modified>
</cp:coreProperties>
</file>